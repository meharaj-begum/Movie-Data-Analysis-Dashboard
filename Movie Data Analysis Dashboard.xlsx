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ehar\Desktop\Project\"/>
    </mc:Choice>
  </mc:AlternateContent>
  <xr:revisionPtr revIDLastSave="0" documentId="13_ncr:1_{B76B10FE-FC23-4DE9-8764-8379028433A4}" xr6:coauthVersionLast="47" xr6:coauthVersionMax="47" xr10:uidLastSave="{00000000-0000-0000-0000-000000000000}"/>
  <bookViews>
    <workbookView xWindow="-108" yWindow="-108" windowWidth="23256" windowHeight="12456" tabRatio="1000" xr2:uid="{63FFCFCB-8DC4-4DB7-B561-011866BB5705}"/>
  </bookViews>
  <sheets>
    <sheet name="Dashboard" sheetId="10" r:id="rId1"/>
    <sheet name="movies-count" sheetId="8" r:id="rId2"/>
    <sheet name="studio count" sheetId="15" r:id="rId3"/>
    <sheet name="industry-count" sheetId="19" r:id="rId4"/>
    <sheet name="stu-co" sheetId="20" r:id="rId5"/>
    <sheet name="Profit" sheetId="13" r:id="rId6"/>
    <sheet name="Financials" sheetId="1" r:id="rId7"/>
    <sheet name="Movies-pro" sheetId="27" r:id="rId8"/>
    <sheet name="Sheet5" sheetId="44" r:id="rId9"/>
  </sheets>
  <definedNames>
    <definedName name="_xlcn.WorksheetConnection_Book1.xlsxTable21" hidden="1">Table2</definedName>
    <definedName name="_xlcn.WorksheetConnection_Book1.xlsxTable31" hidden="1">Table3</definedName>
    <definedName name="_xlcn.WorksheetConnection_Book1.xlsxTable41" hidden="1">Table4</definedName>
    <definedName name="_xlcn.WorksheetConnection_Book1.xlsxTable51" hidden="1">Table5[]</definedName>
    <definedName name="_xlcn.WorksheetConnection_Book1.xlsxTable61" hidden="1">Table6</definedName>
    <definedName name="Slicer_industry">#N/A</definedName>
    <definedName name="Slicer_studio">#N/A</definedName>
    <definedName name="Slicer_studio1">#N/A</definedName>
  </definedNames>
  <calcPr calcId="191029"/>
  <pivotCaches>
    <pivotCache cacheId="0" r:id="rId10"/>
    <pivotCache cacheId="1" r:id="rId11"/>
    <pivotCache cacheId="9" r:id="rId12"/>
    <pivotCache cacheId="11" r:id="rId13"/>
    <pivotCache cacheId="12" r:id="rId14"/>
    <pivotCache cacheId="13"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6" name="5" connection="WorksheetConnection_Book1.xlsx!Table6"/>
          <x15:modelTable id="Table5" name="t2" connection="WorksheetConnection_Book1.xlsx!Table5"/>
          <x15:modelTable id="Table4" name="3" connection="WorksheetConnection_Book1.xlsx!Table4"/>
          <x15:modelTable id="Table3" name="4" connection="WorksheetConnection_Book1.xlsx!Table3"/>
          <x15:modelTable id="Table2" name="1" connection="WorksheetConnection_Book1.xlsx!Table2"/>
        </x15:modelTables>
        <x15:modelRelationships>
          <x15:modelRelationship fromTable="4" fromColumn="movie_id" toTable="1" toColumn="movie_id"/>
          <x15:modelRelationship fromTable="3" fromColumn="name" toTable="5" toColumn="name"/>
          <x15:modelRelationship fromTable="t2" fromColumn="movie_id" toTable="1" toColumn="movie_id"/>
          <x15:modelRelationship fromTable="1" fromColumn="language_id" toTable="5" toColumn="languag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20" l="1"/>
  <c r="B7" i="19"/>
  <c r="B23" i="15"/>
  <c r="B45" i="13"/>
  <c r="E9" i="10"/>
  <c r="C44" i="8"/>
  <c r="F41" i="1"/>
  <c r="G41" i="1" s="1"/>
  <c r="E41" i="1"/>
  <c r="F40" i="1"/>
  <c r="G40" i="1" s="1"/>
  <c r="E40" i="1"/>
  <c r="F39" i="1"/>
  <c r="G39" i="1" s="1"/>
  <c r="E39" i="1"/>
  <c r="F38" i="1"/>
  <c r="G38" i="1" s="1"/>
  <c r="E38" i="1"/>
  <c r="F37" i="1"/>
  <c r="G37" i="1" s="1"/>
  <c r="E37" i="1"/>
  <c r="F36" i="1"/>
  <c r="G36" i="1" s="1"/>
  <c r="E36" i="1"/>
  <c r="F35" i="1"/>
  <c r="G35" i="1" s="1"/>
  <c r="E35" i="1"/>
  <c r="F34" i="1"/>
  <c r="G34" i="1" s="1"/>
  <c r="E34" i="1"/>
  <c r="F33" i="1"/>
  <c r="G33" i="1" s="1"/>
  <c r="E33" i="1"/>
  <c r="F32" i="1"/>
  <c r="G32" i="1" s="1"/>
  <c r="E32" i="1"/>
  <c r="F31" i="1"/>
  <c r="G31" i="1" s="1"/>
  <c r="E31" i="1"/>
  <c r="F30" i="1"/>
  <c r="G30" i="1" s="1"/>
  <c r="E30" i="1"/>
  <c r="F29" i="1"/>
  <c r="G29" i="1" s="1"/>
  <c r="E29" i="1"/>
  <c r="F28" i="1"/>
  <c r="G28" i="1" s="1"/>
  <c r="E28" i="1"/>
  <c r="F27" i="1"/>
  <c r="G27" i="1" s="1"/>
  <c r="E27" i="1"/>
  <c r="F26" i="1"/>
  <c r="G26" i="1" s="1"/>
  <c r="E26" i="1"/>
  <c r="F25" i="1"/>
  <c r="G25" i="1" s="1"/>
  <c r="E25" i="1"/>
  <c r="F24" i="1"/>
  <c r="G24" i="1" s="1"/>
  <c r="E24" i="1"/>
  <c r="F23" i="1"/>
  <c r="G23" i="1" s="1"/>
  <c r="E23" i="1"/>
  <c r="F22" i="1"/>
  <c r="G22" i="1" s="1"/>
  <c r="E22" i="1"/>
  <c r="F21" i="1"/>
  <c r="G21" i="1" s="1"/>
  <c r="E21" i="1"/>
  <c r="F20" i="1"/>
  <c r="G20" i="1" s="1"/>
  <c r="E20" i="1"/>
  <c r="F19" i="1"/>
  <c r="G19" i="1" s="1"/>
  <c r="E19" i="1"/>
  <c r="F18" i="1"/>
  <c r="G18" i="1" s="1"/>
  <c r="E18" i="1"/>
  <c r="F17" i="1"/>
  <c r="G17" i="1" s="1"/>
  <c r="E17" i="1"/>
  <c r="F16" i="1"/>
  <c r="G16" i="1" s="1"/>
  <c r="E16" i="1"/>
  <c r="F15" i="1"/>
  <c r="G15" i="1" s="1"/>
  <c r="E15" i="1"/>
  <c r="F14" i="1"/>
  <c r="G14" i="1" s="1"/>
  <c r="E14" i="1"/>
  <c r="F13" i="1"/>
  <c r="G13" i="1" s="1"/>
  <c r="E13" i="1"/>
  <c r="F12" i="1"/>
  <c r="G12" i="1" s="1"/>
  <c r="E12" i="1"/>
  <c r="F11" i="1"/>
  <c r="G11" i="1" s="1"/>
  <c r="E11" i="1"/>
  <c r="F10" i="1"/>
  <c r="G10" i="1" s="1"/>
  <c r="E10" i="1"/>
  <c r="F9" i="1"/>
  <c r="G9" i="1" s="1"/>
  <c r="E9" i="1"/>
  <c r="F8" i="1"/>
  <c r="G8" i="1" s="1"/>
  <c r="E8" i="1"/>
  <c r="F7" i="1"/>
  <c r="G7" i="1" s="1"/>
  <c r="E7" i="1"/>
  <c r="F6" i="1"/>
  <c r="G6" i="1" s="1"/>
  <c r="E6" i="1"/>
  <c r="F5" i="1"/>
  <c r="G5" i="1" s="1"/>
  <c r="E5" i="1"/>
  <c r="F4" i="1"/>
  <c r="G4" i="1" s="1"/>
  <c r="E4" i="1"/>
  <c r="F3" i="1"/>
  <c r="G3" i="1" s="1"/>
  <c r="E3" i="1"/>
  <c r="F2" i="1"/>
  <c r="G2" i="1" s="1"/>
  <c r="E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0F93B7-9D40-42DA-9E03-8BF0E74FF38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FD7B8B4A-5092-4246-B033-3519BAA9FD86}" name="WorksheetConnection_Book1.xlsx!Table2" type="102" refreshedVersion="8" minRefreshableVersion="5">
    <extLst>
      <ext xmlns:x15="http://schemas.microsoft.com/office/spreadsheetml/2010/11/main" uri="{DE250136-89BD-433C-8126-D09CA5730AF9}">
        <x15:connection id="Table2">
          <x15:rangePr sourceName="_xlcn.WorksheetConnection_Book1.xlsxTable21"/>
        </x15:connection>
      </ext>
    </extLst>
  </connection>
  <connection id="3" xr16:uid="{CFB3F5FD-5BF1-402F-8CDF-BC3116382799}" name="WorksheetConnection_Book1.xlsx!Table3" type="102" refreshedVersion="8" minRefreshableVersion="5">
    <extLst>
      <ext xmlns:x15="http://schemas.microsoft.com/office/spreadsheetml/2010/11/main" uri="{DE250136-89BD-433C-8126-D09CA5730AF9}">
        <x15:connection id="Table3">
          <x15:rangePr sourceName="_xlcn.WorksheetConnection_Book1.xlsxTable31"/>
        </x15:connection>
      </ext>
    </extLst>
  </connection>
  <connection id="4" xr16:uid="{46276FC5-6ECD-4C10-BE22-B2526C460A09}" name="WorksheetConnection_Book1.xlsx!Table4" type="102" refreshedVersion="8" minRefreshableVersion="5">
    <extLst>
      <ext xmlns:x15="http://schemas.microsoft.com/office/spreadsheetml/2010/11/main" uri="{DE250136-89BD-433C-8126-D09CA5730AF9}">
        <x15:connection id="Table4">
          <x15:rangePr sourceName="_xlcn.WorksheetConnection_Book1.xlsxTable41"/>
        </x15:connection>
      </ext>
    </extLst>
  </connection>
  <connection id="5" xr16:uid="{6BB86015-C51F-4C57-BCC0-0880D55EE2A1}" name="WorksheetConnection_Book1.xlsx!Table5" type="102" refreshedVersion="8" minRefreshableVersion="5">
    <extLst>
      <ext xmlns:x15="http://schemas.microsoft.com/office/spreadsheetml/2010/11/main" uri="{DE250136-89BD-433C-8126-D09CA5730AF9}">
        <x15:connection id="Table5">
          <x15:rangePr sourceName="_xlcn.WorksheetConnection_Book1.xlsxTable51"/>
        </x15:connection>
      </ext>
    </extLst>
  </connection>
  <connection id="6" xr16:uid="{35ADE101-3AE5-4EB2-88E5-56E7E4C5F4B1}" name="WorksheetConnection_Book1.xlsx!Table6" type="102" refreshedVersion="8" minRefreshableVersion="5">
    <extLst>
      <ext xmlns:x15="http://schemas.microsoft.com/office/spreadsheetml/2010/11/main" uri="{DE250136-89BD-433C-8126-D09CA5730AF9}">
        <x15:connection id="Table6">
          <x15:rangePr sourceName="_xlcn.WorksheetConnection_Book1.xlsxTable6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<sst xmlns="http://schemas.openxmlformats.org/spreadsheetml/2006/main" count="232" uniqueCount="92">
  <si>
    <t>movie_id</t>
  </si>
  <si>
    <t>budget</t>
  </si>
  <si>
    <t>revenue</t>
  </si>
  <si>
    <t>currency</t>
  </si>
  <si>
    <t>profit</t>
  </si>
  <si>
    <t>INR</t>
  </si>
  <si>
    <t>USD</t>
  </si>
  <si>
    <t>industry</t>
  </si>
  <si>
    <t>release_year</t>
  </si>
  <si>
    <t>imdb_rating</t>
  </si>
  <si>
    <t>studio</t>
  </si>
  <si>
    <t>language_id</t>
  </si>
  <si>
    <t>K.G.F: Chapter 2</t>
  </si>
  <si>
    <t>Bollywood</t>
  </si>
  <si>
    <t>Homabalefilms</t>
  </si>
  <si>
    <t>Doctor Strange in the Multiverse of Madness</t>
  </si>
  <si>
    <t>Hollywood</t>
  </si>
  <si>
    <t>Marvel Studios</t>
  </si>
  <si>
    <t xml:space="preserve">Thor: The Dark World </t>
  </si>
  <si>
    <t xml:space="preserve">Thor: Ragnarok </t>
  </si>
  <si>
    <t xml:space="preserve"> Marvel Studios</t>
  </si>
  <si>
    <t xml:space="preserve">Thor: Love and Thunder </t>
  </si>
  <si>
    <t>Sholay</t>
  </si>
  <si>
    <t>United Producers</t>
  </si>
  <si>
    <t>Dilwale Dulhania Le Jayenge</t>
  </si>
  <si>
    <t>Yash Raj Films</t>
  </si>
  <si>
    <t xml:space="preserve"> 3 Idiots</t>
  </si>
  <si>
    <t xml:space="preserve">  Vinod Chopra Films</t>
  </si>
  <si>
    <t>Kabhi Khushi Kabhie Gham</t>
  </si>
  <si>
    <t>Dharma Productions</t>
  </si>
  <si>
    <t xml:space="preserve">Bajirao Mastani </t>
  </si>
  <si>
    <t>Others</t>
  </si>
  <si>
    <t>The Shawshank Redemption</t>
  </si>
  <si>
    <t>Castle Rock Entertainment</t>
  </si>
  <si>
    <t>Inception</t>
  </si>
  <si>
    <t>Warner Bros. Pictures</t>
  </si>
  <si>
    <t>Interstellar</t>
  </si>
  <si>
    <t>The Pursuit of Happyness</t>
  </si>
  <si>
    <t>Columbia Pictures</t>
  </si>
  <si>
    <t>Gladiator</t>
  </si>
  <si>
    <t xml:space="preserve">Universal Pictures  </t>
  </si>
  <si>
    <t>Titanic</t>
  </si>
  <si>
    <t>Paramount Pictures</t>
  </si>
  <si>
    <t>It's a Wonderful Life</t>
  </si>
  <si>
    <t>Liberty Films</t>
  </si>
  <si>
    <t>Avatar</t>
  </si>
  <si>
    <t>20th Century Fox</t>
  </si>
  <si>
    <t>The Godfather</t>
  </si>
  <si>
    <t xml:space="preserve"> Paramount Pictures</t>
  </si>
  <si>
    <t>The Dark Knight</t>
  </si>
  <si>
    <t>Syncopy</t>
  </si>
  <si>
    <t>Schindler's List</t>
  </si>
  <si>
    <t>Universal Pictures</t>
  </si>
  <si>
    <t>Jurassic Park</t>
  </si>
  <si>
    <t>Parasite</t>
  </si>
  <si>
    <t>Avengers: Endgame</t>
  </si>
  <si>
    <t>Avengers: Infinity War</t>
  </si>
  <si>
    <t>Pather Panchali</t>
  </si>
  <si>
    <t xml:space="preserve"> Government of West Bengal  </t>
  </si>
  <si>
    <t>Taare Zameen Par</t>
  </si>
  <si>
    <t>Munna Bhai M.B.B.S.</t>
  </si>
  <si>
    <t>Vinod Chopra Productions</t>
  </si>
  <si>
    <t>PK</t>
  </si>
  <si>
    <t>Vinod Chopra Films</t>
  </si>
  <si>
    <t>Sanju</t>
  </si>
  <si>
    <t>Pushpa: The Rise - Part 1</t>
  </si>
  <si>
    <t>Mythri Movie Makers</t>
  </si>
  <si>
    <t>RRR</t>
  </si>
  <si>
    <t>DVV Entertainment</t>
  </si>
  <si>
    <t>Baahubali: The Beginning</t>
  </si>
  <si>
    <t>Arka Media Works</t>
  </si>
  <si>
    <t>The Kashmir Files</t>
  </si>
  <si>
    <t>Zee Studios</t>
  </si>
  <si>
    <t>Bajrangi Bhaijaan</t>
  </si>
  <si>
    <t>Salman Khan Films</t>
  </si>
  <si>
    <t>Captain America: The First Avenger</t>
  </si>
  <si>
    <t>Captain America: The Winter Soldier</t>
  </si>
  <si>
    <t>Race 3</t>
  </si>
  <si>
    <t>Shershaah</t>
  </si>
  <si>
    <t>Title</t>
  </si>
  <si>
    <t>budget2</t>
  </si>
  <si>
    <t>currency3</t>
  </si>
  <si>
    <t>Row Labels</t>
  </si>
  <si>
    <t>Grand Total</t>
  </si>
  <si>
    <t>Count of movie_id</t>
  </si>
  <si>
    <t>Count of studio</t>
  </si>
  <si>
    <t>Sum of profit</t>
  </si>
  <si>
    <t>Distinct Count of industry</t>
  </si>
  <si>
    <t xml:space="preserve"> Government of West Bengal</t>
  </si>
  <si>
    <t>Distinct Count of studio</t>
  </si>
  <si>
    <t>Profit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</si>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</sst>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6"/>
      <color theme="1"/>
      <name val="Calibri"/>
      <family val="2"/>
    </font>
  </fonts>
  <fills count="3">
    <fill>
      <patternFill patternType="none"/>
    </fill>
    <fill>
      <patternFill patternType="gray125"/>
    </fill>
    <fill>
      <patternFill patternType="solid">
        <fgColor theme="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17">
    <xf numFmtId="0" fontId="0" fillId="0" borderId="0" xfId="0"/>
    <xf numFmtId="0" fontId="0" fillId="2" borderId="1" xfId="0" applyFill="1" applyBorder="1"/>
    <xf numFmtId="0" fontId="0" fillId="0" borderId="1" xfId="0" applyBorder="1"/>
    <xf numFmtId="0" fontId="0" fillId="0" borderId="2" xfId="0" applyBorder="1"/>
    <xf numFmtId="2" fontId="0" fillId="0" borderId="1" xfId="0" applyNumberForma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2" borderId="3" xfId="0" applyFill="1" applyBorder="1"/>
    <xf numFmtId="0" fontId="0" fillId="2" borderId="8" xfId="0" applyFill="1" applyBorder="1"/>
    <xf numFmtId="0" fontId="0" fillId="0" borderId="0" xfId="0" pivotButton="1"/>
    <xf numFmtId="0" fontId="0" fillId="0" borderId="0" xfId="0" applyAlignment="1">
      <alignment horizontal="left"/>
    </xf>
    <xf numFmtId="0" fontId="2" fillId="0" borderId="0" xfId="0" applyFont="1"/>
    <xf numFmtId="0" fontId="1" fillId="2" borderId="1" xfId="0" applyFont="1" applyFill="1" applyBorder="1"/>
    <xf numFmtId="0" fontId="1" fillId="2" borderId="2" xfId="0" applyFont="1" applyFill="1" applyBorder="1"/>
  </cellXfs>
  <cellStyles count="1">
    <cellStyle name="Normal" xfId="0" builtinId="0"/>
  </cellStyles>
  <dxfs count="9">
    <dxf>
      <font>
        <color rgb="FF9C0006"/>
      </font>
      <fill>
        <patternFill>
          <bgColor rgb="FFFFC7CE"/>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2.xml"/><Relationship Id="rId26" Type="http://schemas.microsoft.com/office/2017/06/relationships/rdRichValue" Target="richData/rdrichvalue.xml"/><Relationship Id="rId39" Type="http://schemas.openxmlformats.org/officeDocument/2006/relationships/customXml" Target="../customXml/item9.xml"/><Relationship Id="rId21" Type="http://schemas.openxmlformats.org/officeDocument/2006/relationships/connections" Target="connections.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1" Type="http://schemas.openxmlformats.org/officeDocument/2006/relationships/pivotCacheDefinition" Target="pivotCache/pivotCacheDefinition2.xml"/><Relationship Id="rId24" Type="http://schemas.openxmlformats.org/officeDocument/2006/relationships/sheetMetadata" Target="metadata.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aredStrings" Target="sharedStrings.xml"/><Relationship Id="rId28" Type="http://schemas.microsoft.com/office/2017/06/relationships/rdRichValueTypes" Target="richData/rdRichValueType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1.xml"/><Relationship Id="rId19" Type="http://schemas.microsoft.com/office/2007/relationships/slicerCache" Target="slicerCaches/slicerCache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tyles" Target="styles.xml"/><Relationship Id="rId27" Type="http://schemas.microsoft.com/office/2017/06/relationships/rdRichValueStructure" Target="richData/rdrichvaluestructure.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microsoft.com/office/2022/10/relationships/richValueRel" Target="richData/richValueRel.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theme" Target="theme/theme1.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400">
                <a:latin typeface="Calibri" panose="020F0502020204030204" pitchFamily="34" charset="0"/>
                <a:ea typeface="Calibri" panose="020F0502020204030204" pitchFamily="34" charset="0"/>
                <a:cs typeface="Calibri" panose="020F0502020204030204" pitchFamily="34" charset="0"/>
              </a:rPr>
              <a:t>STUDIO-WISE PROFIT</a:t>
            </a:r>
          </a:p>
        </c:rich>
      </c:tx>
      <c:layout>
        <c:manualLayout>
          <c:xMode val="edge"/>
          <c:yMode val="edge"/>
          <c:x val="0.30556233595800519"/>
          <c:y val="7.9843235992776262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5"/>
              <c:pt idx="0">
                <c:v>  Vinod Chopra Films</c:v>
              </c:pt>
              <c:pt idx="1">
                <c:v> Government of West Bengal</c:v>
              </c:pt>
              <c:pt idx="2">
                <c:v> Marvel Studios</c:v>
              </c:pt>
              <c:pt idx="3">
                <c:v> Paramount Pictures</c:v>
              </c:pt>
              <c:pt idx="4">
                <c:v>20th Century Fox</c:v>
              </c:pt>
              <c:pt idx="5">
                <c:v>Arka Media Works</c:v>
              </c:pt>
              <c:pt idx="6">
                <c:v>Castle Rock Entertainment</c:v>
              </c:pt>
              <c:pt idx="7">
                <c:v>Columbia Pictures</c:v>
              </c:pt>
              <c:pt idx="8">
                <c:v>Dharma Productions</c:v>
              </c:pt>
              <c:pt idx="9">
                <c:v>DVV Entertainment</c:v>
              </c:pt>
              <c:pt idx="10">
                <c:v>Homabalefilms</c:v>
              </c:pt>
              <c:pt idx="11">
                <c:v>Liberty Films</c:v>
              </c:pt>
              <c:pt idx="12">
                <c:v>Marvel Studios</c:v>
              </c:pt>
              <c:pt idx="13">
                <c:v>Mythri Movie Makers</c:v>
              </c:pt>
              <c:pt idx="14">
                <c:v>Others</c:v>
              </c:pt>
              <c:pt idx="15">
                <c:v>Paramount Pictures</c:v>
              </c:pt>
              <c:pt idx="16">
                <c:v>Salman Khan Films</c:v>
              </c:pt>
              <c:pt idx="17">
                <c:v>Syncopy</c:v>
              </c:pt>
              <c:pt idx="18">
                <c:v>United Producers</c:v>
              </c:pt>
              <c:pt idx="19">
                <c:v>Universal Pictures</c:v>
              </c:pt>
              <c:pt idx="20">
                <c:v>Vinod Chopra Films</c:v>
              </c:pt>
              <c:pt idx="21">
                <c:v>Vinod Chopra Productions</c:v>
              </c:pt>
              <c:pt idx="22">
                <c:v>Warner Bros. Pictures</c:v>
              </c:pt>
              <c:pt idx="23">
                <c:v>Yash Raj Films</c:v>
              </c:pt>
              <c:pt idx="24">
                <c:v>Zee Studios</c:v>
              </c:pt>
            </c:strLit>
          </c:cat>
          <c:val>
            <c:numLit>
              <c:formatCode>General</c:formatCode>
              <c:ptCount val="25"/>
              <c:pt idx="0">
                <c:v>3450</c:v>
              </c:pt>
              <c:pt idx="1">
                <c:v>30</c:v>
              </c:pt>
              <c:pt idx="2">
                <c:v>67400</c:v>
              </c:pt>
              <c:pt idx="3">
                <c:v>28380</c:v>
              </c:pt>
              <c:pt idx="4">
                <c:v>261000</c:v>
              </c:pt>
              <c:pt idx="5">
                <c:v>4.7</c:v>
              </c:pt>
              <c:pt idx="6">
                <c:v>4830</c:v>
              </c:pt>
              <c:pt idx="7">
                <c:v>25210.000000000004</c:v>
              </c:pt>
              <c:pt idx="8">
                <c:v>1420</c:v>
              </c:pt>
              <c:pt idx="9">
                <c:v>6.5</c:v>
              </c:pt>
              <c:pt idx="10">
                <c:v>11.5</c:v>
              </c:pt>
              <c:pt idx="11">
                <c:v>12</c:v>
              </c:pt>
              <c:pt idx="12">
                <c:v>639190</c:v>
              </c:pt>
              <c:pt idx="13">
                <c:v>1.6</c:v>
              </c:pt>
              <c:pt idx="14">
                <c:v>25992.100000000002</c:v>
              </c:pt>
              <c:pt idx="15">
                <c:v>200200</c:v>
              </c:pt>
              <c:pt idx="16">
                <c:v>10791.3</c:v>
              </c:pt>
              <c:pt idx="17">
                <c:v>82100</c:v>
              </c:pt>
              <c:pt idx="18">
                <c:v>0</c:v>
              </c:pt>
              <c:pt idx="19">
                <c:v>164070</c:v>
              </c:pt>
              <c:pt idx="20">
                <c:v>7694.9</c:v>
              </c:pt>
              <c:pt idx="21">
                <c:v>310</c:v>
              </c:pt>
              <c:pt idx="22">
                <c:v>53680</c:v>
              </c:pt>
              <c:pt idx="23">
                <c:v>1600</c:v>
              </c:pt>
              <c:pt idx="24">
                <c:v>3159</c:v>
              </c:pt>
            </c:numLit>
          </c:val>
          <c:extLst>
            <c:ext xmlns:c16="http://schemas.microsoft.com/office/drawing/2014/chart" uri="{C3380CC4-5D6E-409C-BE32-E72D297353CC}">
              <c16:uniqueId val="{00000000-8D4D-4F50-9316-0B5631AE0125}"/>
            </c:ext>
          </c:extLst>
        </c:ser>
        <c:dLbls>
          <c:showLegendKey val="0"/>
          <c:showVal val="0"/>
          <c:showCatName val="0"/>
          <c:showSerName val="0"/>
          <c:showPercent val="0"/>
          <c:showBubbleSize val="0"/>
        </c:dLbls>
        <c:gapWidth val="100"/>
        <c:overlap val="-24"/>
        <c:axId val="997864591"/>
        <c:axId val="289329648"/>
      </c:barChart>
      <c:catAx>
        <c:axId val="9978645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89329648"/>
        <c:crosses val="autoZero"/>
        <c:auto val="1"/>
        <c:lblAlgn val="ctr"/>
        <c:lblOffset val="100"/>
        <c:noMultiLvlLbl val="0"/>
      </c:catAx>
      <c:valAx>
        <c:axId val="28932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9786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400"/>
              <a:t>Yearly-wise profit</a:t>
            </a:r>
          </a:p>
        </c:rich>
      </c:tx>
      <c:layout>
        <c:manualLayout>
          <c:xMode val="edge"/>
          <c:yMode val="edge"/>
          <c:x val="0.29765966754155732"/>
          <c:y val="3.8262626186911231E-2"/>
        </c:manualLayout>
      </c:layout>
      <c:overlay val="0"/>
      <c:spPr>
        <a:noFill/>
        <a:ln>
          <a:noFill/>
        </a:ln>
        <a:effectLst/>
      </c:spPr>
      <c:txPr>
        <a:bodyPr rot="0" spcFirstLastPara="1" vertOverflow="ellipsis" vert="horz" wrap="square" anchor="ctr" anchorCtr="1"/>
        <a:lstStyle/>
        <a:p>
          <a:pPr>
            <a:defRPr sz="1400" b="1" i="0" u="none" strike="noStrike" kern="1200" cap="all" spc="120" normalizeH="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58092738407699"/>
          <c:y val="0.24235618263633643"/>
          <c:w val="0.69313101487314088"/>
          <c:h val="0.49329870224555261"/>
        </c:manualLayout>
      </c:layout>
      <c:lineChart>
        <c:grouping val="standard"/>
        <c:varyColors val="0"/>
        <c:ser>
          <c:idx val="0"/>
          <c:order val="0"/>
          <c:tx>
            <c:v>Total</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Lit>
              <c:ptCount val="26"/>
              <c:pt idx="0">
                <c:v>1946</c:v>
              </c:pt>
              <c:pt idx="1">
                <c:v>1955</c:v>
              </c:pt>
              <c:pt idx="2">
                <c:v>1972</c:v>
              </c:pt>
              <c:pt idx="3">
                <c:v>1975</c:v>
              </c:pt>
              <c:pt idx="4">
                <c:v>1993</c:v>
              </c:pt>
              <c:pt idx="5">
                <c:v>1994</c:v>
              </c:pt>
              <c:pt idx="6">
                <c:v>1995</c:v>
              </c:pt>
              <c:pt idx="7">
                <c:v>1997</c:v>
              </c:pt>
              <c:pt idx="8">
                <c:v>2000</c:v>
              </c:pt>
              <c:pt idx="9">
                <c:v>2001</c:v>
              </c:pt>
              <c:pt idx="10">
                <c:v>2003</c:v>
              </c:pt>
              <c:pt idx="11">
                <c:v>2006</c:v>
              </c:pt>
              <c:pt idx="12">
                <c:v>2007</c:v>
              </c:pt>
              <c:pt idx="13">
                <c:v>2008</c:v>
              </c:pt>
              <c:pt idx="14">
                <c:v>2009</c:v>
              </c:pt>
              <c:pt idx="15">
                <c:v>2010</c:v>
              </c:pt>
              <c:pt idx="16">
                <c:v>2011</c:v>
              </c:pt>
              <c:pt idx="17">
                <c:v>2013</c:v>
              </c:pt>
              <c:pt idx="18">
                <c:v>2014</c:v>
              </c:pt>
              <c:pt idx="19">
                <c:v>2015</c:v>
              </c:pt>
              <c:pt idx="20">
                <c:v>2017</c:v>
              </c:pt>
              <c:pt idx="21">
                <c:v>2018</c:v>
              </c:pt>
              <c:pt idx="22">
                <c:v>2019</c:v>
              </c:pt>
              <c:pt idx="23">
                <c:v>2021</c:v>
              </c:pt>
              <c:pt idx="24">
                <c:v>2022</c:v>
              </c:pt>
              <c:pt idx="25">
                <c:v>(blank)</c:v>
              </c:pt>
            </c:strLit>
          </c:cat>
          <c:val>
            <c:numLit>
              <c:formatCode>General</c:formatCode>
              <c:ptCount val="26"/>
              <c:pt idx="0">
                <c:v>12</c:v>
              </c:pt>
              <c:pt idx="1">
                <c:v>30</c:v>
              </c:pt>
              <c:pt idx="2">
                <c:v>28380</c:v>
              </c:pt>
              <c:pt idx="3">
                <c:v>0</c:v>
              </c:pt>
              <c:pt idx="4">
                <c:v>128320</c:v>
              </c:pt>
              <c:pt idx="5">
                <c:v>4830</c:v>
              </c:pt>
              <c:pt idx="6">
                <c:v>1600</c:v>
              </c:pt>
              <c:pt idx="7">
                <c:v>200200</c:v>
              </c:pt>
              <c:pt idx="8">
                <c:v>35750</c:v>
              </c:pt>
              <c:pt idx="9">
                <c:v>970</c:v>
              </c:pt>
              <c:pt idx="10">
                <c:v>310</c:v>
              </c:pt>
              <c:pt idx="11">
                <c:v>25210.000000000004</c:v>
              </c:pt>
              <c:pt idx="12">
                <c:v>1230</c:v>
              </c:pt>
              <c:pt idx="13">
                <c:v>82100</c:v>
              </c:pt>
              <c:pt idx="14">
                <c:v>264450</c:v>
              </c:pt>
              <c:pt idx="15">
                <c:v>0</c:v>
              </c:pt>
              <c:pt idx="16">
                <c:v>15390</c:v>
              </c:pt>
              <c:pt idx="17">
                <c:v>47979.999999999993</c:v>
              </c:pt>
              <c:pt idx="18">
                <c:v>115110</c:v>
              </c:pt>
              <c:pt idx="19">
                <c:v>10796.8</c:v>
              </c:pt>
              <c:pt idx="20">
                <c:v>67400</c:v>
              </c:pt>
              <c:pt idx="21">
                <c:v>164806.19999999998</c:v>
              </c:pt>
              <c:pt idx="22">
                <c:v>264560</c:v>
              </c:pt>
              <c:pt idx="23">
                <c:v>451.6</c:v>
              </c:pt>
              <c:pt idx="24">
                <c:v>120657</c:v>
              </c:pt>
              <c:pt idx="25">
                <c:v>0</c:v>
              </c:pt>
            </c:numLit>
          </c:val>
          <c:smooth val="0"/>
          <c:extLst>
            <c:ext xmlns:c16="http://schemas.microsoft.com/office/drawing/2014/chart" uri="{C3380CC4-5D6E-409C-BE32-E72D297353CC}">
              <c16:uniqueId val="{00000000-D4A7-44EE-B55C-78A5FDCE6EEE}"/>
            </c:ext>
          </c:extLst>
        </c:ser>
        <c:dLbls>
          <c:showLegendKey val="0"/>
          <c:showVal val="0"/>
          <c:showCatName val="0"/>
          <c:showSerName val="0"/>
          <c:showPercent val="0"/>
          <c:showBubbleSize val="0"/>
        </c:dLbls>
        <c:marker val="1"/>
        <c:smooth val="0"/>
        <c:axId val="997908207"/>
        <c:axId val="160207728"/>
      </c:lineChart>
      <c:catAx>
        <c:axId val="997908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cap="all" spc="120" normalizeH="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60207728"/>
        <c:crosses val="autoZero"/>
        <c:auto val="1"/>
        <c:lblAlgn val="ctr"/>
        <c:lblOffset val="100"/>
        <c:noMultiLvlLbl val="0"/>
      </c:catAx>
      <c:valAx>
        <c:axId val="160207728"/>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979082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latin typeface="Calibri" panose="020F0502020204030204" pitchFamily="34" charset="0"/>
                <a:ea typeface="Calibri" panose="020F0502020204030204" pitchFamily="34" charset="0"/>
                <a:cs typeface="Calibri" panose="020F0502020204030204" pitchFamily="34" charset="0"/>
              </a:rPr>
              <a:t>INDUSTRY-WISE PROFIT</a:t>
            </a:r>
          </a:p>
        </c:rich>
      </c:tx>
      <c:layout>
        <c:manualLayout>
          <c:xMode val="edge"/>
          <c:yMode val="edge"/>
          <c:x val="0.23001377952755905"/>
          <c:y val="8.961775659615284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9E-4744-A2E3-A34178B40A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9E-4744-A2E3-A34178B40A7E}"/>
              </c:ext>
            </c:extLst>
          </c:dPt>
          <c:cat>
            <c:strLit>
              <c:ptCount val="2"/>
              <c:pt idx="0">
                <c:v>Bollywood</c:v>
              </c:pt>
              <c:pt idx="1">
                <c:v>Hollywood</c:v>
              </c:pt>
            </c:strLit>
          </c:cat>
          <c:val>
            <c:numLit>
              <c:formatCode>General</c:formatCode>
              <c:ptCount val="2"/>
              <c:pt idx="0">
                <c:v>29711.600000000002</c:v>
              </c:pt>
              <c:pt idx="1">
                <c:v>1550832</c:v>
              </c:pt>
            </c:numLit>
          </c:val>
          <c:extLst>
            <c:ext xmlns:c16="http://schemas.microsoft.com/office/drawing/2014/chart" uri="{C3380CC4-5D6E-409C-BE32-E72D297353CC}">
              <c16:uniqueId val="{00000004-569E-4744-A2E3-A34178B40A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Data Analysis Dashboard.xlsx]Sheet5!PivotTable5</c:name>
    <c:fmtId val="13"/>
  </c:pivotSource>
  <c:chart>
    <c:title>
      <c:tx>
        <c:rich>
          <a:bodyPr rot="0" spcFirstLastPara="1" vertOverflow="ellipsis" vert="horz" wrap="square" anchor="ctr" anchorCtr="1"/>
          <a:lstStyle/>
          <a:p>
            <a:pPr>
              <a:defRPr sz="1400" b="1" i="0" u="none" strike="noStrike" kern="1200" cap="all" spc="15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400">
                <a:latin typeface="Calibri" panose="020F0502020204030204" pitchFamily="34" charset="0"/>
                <a:ea typeface="Calibri" panose="020F0502020204030204" pitchFamily="34" charset="0"/>
                <a:cs typeface="Calibri" panose="020F0502020204030204" pitchFamily="34" charset="0"/>
              </a:rPr>
              <a:t>Movies-wise profit</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Sheet5!$A$4:$A$43</c:f>
              <c:strCache>
                <c:ptCount val="39"/>
                <c:pt idx="0">
                  <c:v>101</c:v>
                </c:pt>
                <c:pt idx="1">
                  <c:v>102</c:v>
                </c:pt>
                <c:pt idx="2">
                  <c:v>103</c:v>
                </c:pt>
                <c:pt idx="3">
                  <c:v>104</c:v>
                </c:pt>
                <c:pt idx="4">
                  <c:v>105</c:v>
                </c:pt>
                <c:pt idx="5">
                  <c:v>106</c:v>
                </c:pt>
                <c:pt idx="6">
                  <c:v>107</c:v>
                </c:pt>
                <c:pt idx="7">
                  <c:v>108</c:v>
                </c:pt>
                <c:pt idx="8">
                  <c:v>109</c:v>
                </c:pt>
                <c:pt idx="9">
                  <c:v>110</c:v>
                </c:pt>
                <c:pt idx="10">
                  <c:v>111</c:v>
                </c:pt>
                <c:pt idx="11">
                  <c:v>112</c:v>
                </c:pt>
                <c:pt idx="12">
                  <c:v>113</c:v>
                </c:pt>
                <c:pt idx="13">
                  <c:v>115</c:v>
                </c:pt>
                <c:pt idx="14">
                  <c:v>116</c:v>
                </c:pt>
                <c:pt idx="15">
                  <c:v>117</c:v>
                </c:pt>
                <c:pt idx="16">
                  <c:v>118</c:v>
                </c:pt>
                <c:pt idx="17">
                  <c:v>119</c:v>
                </c:pt>
                <c:pt idx="18">
                  <c:v>120</c:v>
                </c:pt>
                <c:pt idx="19">
                  <c:v>121</c:v>
                </c:pt>
                <c:pt idx="20">
                  <c:v>122</c:v>
                </c:pt>
                <c:pt idx="21">
                  <c:v>123</c:v>
                </c:pt>
                <c:pt idx="22">
                  <c:v>124</c:v>
                </c:pt>
                <c:pt idx="23">
                  <c:v>125</c:v>
                </c:pt>
                <c:pt idx="24">
                  <c:v>126</c:v>
                </c:pt>
                <c:pt idx="25">
                  <c:v>127</c:v>
                </c:pt>
                <c:pt idx="26">
                  <c:v>128</c:v>
                </c:pt>
                <c:pt idx="27">
                  <c:v>129</c:v>
                </c:pt>
                <c:pt idx="28">
                  <c:v>130</c:v>
                </c:pt>
                <c:pt idx="29">
                  <c:v>131</c:v>
                </c:pt>
                <c:pt idx="30">
                  <c:v>132</c:v>
                </c:pt>
                <c:pt idx="31">
                  <c:v>133</c:v>
                </c:pt>
                <c:pt idx="32">
                  <c:v>134</c:v>
                </c:pt>
                <c:pt idx="33">
                  <c:v>135</c:v>
                </c:pt>
                <c:pt idx="34">
                  <c:v>136</c:v>
                </c:pt>
                <c:pt idx="35">
                  <c:v>137</c:v>
                </c:pt>
                <c:pt idx="36">
                  <c:v>138</c:v>
                </c:pt>
                <c:pt idx="37">
                  <c:v>139</c:v>
                </c:pt>
                <c:pt idx="38">
                  <c:v>140</c:v>
                </c:pt>
              </c:strCache>
            </c:strRef>
          </c:cat>
          <c:val>
            <c:numRef>
              <c:f>Sheet5!$B$4:$B$43</c:f>
              <c:numCache>
                <c:formatCode>General</c:formatCode>
                <c:ptCount val="39"/>
                <c:pt idx="0">
                  <c:v>11.5</c:v>
                </c:pt>
                <c:pt idx="1">
                  <c:v>75480</c:v>
                </c:pt>
                <c:pt idx="2">
                  <c:v>47979.999999999993</c:v>
                </c:pt>
                <c:pt idx="3">
                  <c:v>67400</c:v>
                </c:pt>
                <c:pt idx="4">
                  <c:v>42000</c:v>
                </c:pt>
                <c:pt idx="5">
                  <c:v>0</c:v>
                </c:pt>
                <c:pt idx="6">
                  <c:v>1600</c:v>
                </c:pt>
                <c:pt idx="7">
                  <c:v>3450</c:v>
                </c:pt>
                <c:pt idx="8">
                  <c:v>970</c:v>
                </c:pt>
                <c:pt idx="9">
                  <c:v>2.1</c:v>
                </c:pt>
                <c:pt idx="10">
                  <c:v>4830</c:v>
                </c:pt>
                <c:pt idx="11">
                  <c:v>0</c:v>
                </c:pt>
                <c:pt idx="12">
                  <c:v>53680</c:v>
                </c:pt>
                <c:pt idx="13">
                  <c:v>25210.000000000004</c:v>
                </c:pt>
                <c:pt idx="14">
                  <c:v>35750</c:v>
                </c:pt>
                <c:pt idx="15">
                  <c:v>200200</c:v>
                </c:pt>
                <c:pt idx="16">
                  <c:v>12</c:v>
                </c:pt>
                <c:pt idx="17">
                  <c:v>261000</c:v>
                </c:pt>
                <c:pt idx="18">
                  <c:v>28380</c:v>
                </c:pt>
                <c:pt idx="19">
                  <c:v>82100</c:v>
                </c:pt>
                <c:pt idx="20">
                  <c:v>30020</c:v>
                </c:pt>
                <c:pt idx="21">
                  <c:v>98300</c:v>
                </c:pt>
                <c:pt idx="22">
                  <c:v>24760.000000000004</c:v>
                </c:pt>
                <c:pt idx="23">
                  <c:v>239800</c:v>
                </c:pt>
                <c:pt idx="24">
                  <c:v>164800</c:v>
                </c:pt>
                <c:pt idx="25">
                  <c:v>30</c:v>
                </c:pt>
                <c:pt idx="26">
                  <c:v>1230</c:v>
                </c:pt>
                <c:pt idx="27">
                  <c:v>310</c:v>
                </c:pt>
                <c:pt idx="28">
                  <c:v>7690</c:v>
                </c:pt>
                <c:pt idx="29">
                  <c:v>4.9000000000000004</c:v>
                </c:pt>
                <c:pt idx="30">
                  <c:v>1.6</c:v>
                </c:pt>
                <c:pt idx="31">
                  <c:v>6.5</c:v>
                </c:pt>
                <c:pt idx="32">
                  <c:v>4.7</c:v>
                </c:pt>
                <c:pt idx="33">
                  <c:v>3159</c:v>
                </c:pt>
                <c:pt idx="34">
                  <c:v>10790</c:v>
                </c:pt>
                <c:pt idx="35">
                  <c:v>15390</c:v>
                </c:pt>
                <c:pt idx="36">
                  <c:v>53740</c:v>
                </c:pt>
                <c:pt idx="37">
                  <c:v>1.3</c:v>
                </c:pt>
                <c:pt idx="38">
                  <c:v>450</c:v>
                </c:pt>
              </c:numCache>
            </c:numRef>
          </c:val>
          <c:extLst>
            <c:ext xmlns:c16="http://schemas.microsoft.com/office/drawing/2014/chart" uri="{C3380CC4-5D6E-409C-BE32-E72D297353CC}">
              <c16:uniqueId val="{00000000-ED89-4468-B345-4A71670B3E37}"/>
            </c:ext>
          </c:extLst>
        </c:ser>
        <c:dLbls>
          <c:showLegendKey val="0"/>
          <c:showVal val="0"/>
          <c:showCatName val="0"/>
          <c:showSerName val="0"/>
          <c:showPercent val="0"/>
          <c:showBubbleSize val="0"/>
        </c:dLbls>
        <c:gapWidth val="150"/>
        <c:overlap val="100"/>
        <c:axId val="934896560"/>
        <c:axId val="1286348655"/>
      </c:barChart>
      <c:catAx>
        <c:axId val="93489656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86348655"/>
        <c:crosses val="autoZero"/>
        <c:auto val="1"/>
        <c:lblAlgn val="ctr"/>
        <c:lblOffset val="100"/>
        <c:noMultiLvlLbl val="0"/>
      </c:catAx>
      <c:valAx>
        <c:axId val="1286348655"/>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3489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Data Analysis Dashboard.xlsx]movies-count!PivotTable10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Movies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'movies-count'!$C$3</c:f>
              <c:strCache>
                <c:ptCount val="1"/>
                <c:pt idx="0">
                  <c:v>Total</c:v>
                </c:pt>
              </c:strCache>
            </c:strRef>
          </c:tx>
          <c:spPr>
            <a:solidFill>
              <a:schemeClr val="accent1"/>
            </a:solidFill>
            <a:ln>
              <a:noFill/>
            </a:ln>
            <a:effectLst/>
          </c:spPr>
          <c:invertIfNegative val="0"/>
          <c:cat>
            <c:strRef>
              <c:f>'movies-count'!$B$4:$B$43</c:f>
              <c:strCache>
                <c:ptCount val="39"/>
                <c:pt idx="0">
                  <c:v>101</c:v>
                </c:pt>
                <c:pt idx="1">
                  <c:v>102</c:v>
                </c:pt>
                <c:pt idx="2">
                  <c:v>103</c:v>
                </c:pt>
                <c:pt idx="3">
                  <c:v>104</c:v>
                </c:pt>
                <c:pt idx="4">
                  <c:v>105</c:v>
                </c:pt>
                <c:pt idx="5">
                  <c:v>106</c:v>
                </c:pt>
                <c:pt idx="6">
                  <c:v>107</c:v>
                </c:pt>
                <c:pt idx="7">
                  <c:v>108</c:v>
                </c:pt>
                <c:pt idx="8">
                  <c:v>109</c:v>
                </c:pt>
                <c:pt idx="9">
                  <c:v>110</c:v>
                </c:pt>
                <c:pt idx="10">
                  <c:v>111</c:v>
                </c:pt>
                <c:pt idx="11">
                  <c:v>112</c:v>
                </c:pt>
                <c:pt idx="12">
                  <c:v>113</c:v>
                </c:pt>
                <c:pt idx="13">
                  <c:v>115</c:v>
                </c:pt>
                <c:pt idx="14">
                  <c:v>116</c:v>
                </c:pt>
                <c:pt idx="15">
                  <c:v>117</c:v>
                </c:pt>
                <c:pt idx="16">
                  <c:v>118</c:v>
                </c:pt>
                <c:pt idx="17">
                  <c:v>119</c:v>
                </c:pt>
                <c:pt idx="18">
                  <c:v>120</c:v>
                </c:pt>
                <c:pt idx="19">
                  <c:v>121</c:v>
                </c:pt>
                <c:pt idx="20">
                  <c:v>122</c:v>
                </c:pt>
                <c:pt idx="21">
                  <c:v>123</c:v>
                </c:pt>
                <c:pt idx="22">
                  <c:v>124</c:v>
                </c:pt>
                <c:pt idx="23">
                  <c:v>125</c:v>
                </c:pt>
                <c:pt idx="24">
                  <c:v>126</c:v>
                </c:pt>
                <c:pt idx="25">
                  <c:v>127</c:v>
                </c:pt>
                <c:pt idx="26">
                  <c:v>128</c:v>
                </c:pt>
                <c:pt idx="27">
                  <c:v>129</c:v>
                </c:pt>
                <c:pt idx="28">
                  <c:v>130</c:v>
                </c:pt>
                <c:pt idx="29">
                  <c:v>131</c:v>
                </c:pt>
                <c:pt idx="30">
                  <c:v>132</c:v>
                </c:pt>
                <c:pt idx="31">
                  <c:v>133</c:v>
                </c:pt>
                <c:pt idx="32">
                  <c:v>134</c:v>
                </c:pt>
                <c:pt idx="33">
                  <c:v>135</c:v>
                </c:pt>
                <c:pt idx="34">
                  <c:v>136</c:v>
                </c:pt>
                <c:pt idx="35">
                  <c:v>137</c:v>
                </c:pt>
                <c:pt idx="36">
                  <c:v>138</c:v>
                </c:pt>
                <c:pt idx="37">
                  <c:v>139</c:v>
                </c:pt>
                <c:pt idx="38">
                  <c:v>140</c:v>
                </c:pt>
              </c:strCache>
            </c:strRef>
          </c:cat>
          <c:val>
            <c:numRef>
              <c:f>'movies-count'!$C$4:$C$43</c:f>
              <c:numCache>
                <c:formatCode>General</c:formatCode>
                <c:ptCount val="3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numCache>
            </c:numRef>
          </c:val>
          <c:extLst>
            <c:ext xmlns:c16="http://schemas.microsoft.com/office/drawing/2014/chart" uri="{C3380CC4-5D6E-409C-BE32-E72D297353CC}">
              <c16:uniqueId val="{00000000-1438-4D75-B98A-C2DFD07A78D1}"/>
            </c:ext>
          </c:extLst>
        </c:ser>
        <c:dLbls>
          <c:showLegendKey val="0"/>
          <c:showVal val="0"/>
          <c:showCatName val="0"/>
          <c:showSerName val="0"/>
          <c:showPercent val="0"/>
          <c:showBubbleSize val="0"/>
        </c:dLbls>
        <c:gapWidth val="219"/>
        <c:overlap val="-27"/>
        <c:axId val="1183598767"/>
        <c:axId val="1286317455"/>
      </c:barChart>
      <c:catAx>
        <c:axId val="1183598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317455"/>
        <c:crosses val="autoZero"/>
        <c:auto val="1"/>
        <c:lblAlgn val="ctr"/>
        <c:lblOffset val="100"/>
        <c:noMultiLvlLbl val="0"/>
      </c:catAx>
      <c:valAx>
        <c:axId val="128631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59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Data Analysis Dashboard.xlsx]Profit!PivotTable3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Profit!$B$3</c:f>
              <c:strCache>
                <c:ptCount val="1"/>
                <c:pt idx="0">
                  <c:v>Total</c:v>
                </c:pt>
              </c:strCache>
            </c:strRef>
          </c:tx>
          <c:spPr>
            <a:solidFill>
              <a:schemeClr val="accent1"/>
            </a:solidFill>
            <a:ln>
              <a:noFill/>
            </a:ln>
            <a:effectLst/>
          </c:spPr>
          <c:invertIfNegative val="0"/>
          <c:cat>
            <c:strRef>
              <c:f>Profit!$A$4:$A$44</c:f>
              <c:strCache>
                <c:ptCount val="40"/>
                <c:pt idx="0">
                  <c:v>1.3</c:v>
                </c:pt>
                <c:pt idx="1">
                  <c:v>1.6</c:v>
                </c:pt>
                <c:pt idx="2">
                  <c:v>2.1</c:v>
                </c:pt>
                <c:pt idx="3">
                  <c:v>4.7</c:v>
                </c:pt>
                <c:pt idx="4">
                  <c:v>4.9</c:v>
                </c:pt>
                <c:pt idx="5">
                  <c:v>6.5</c:v>
                </c:pt>
                <c:pt idx="6">
                  <c:v>11.5</c:v>
                </c:pt>
                <c:pt idx="7">
                  <c:v>12</c:v>
                </c:pt>
                <c:pt idx="8">
                  <c:v>30</c:v>
                </c:pt>
                <c:pt idx="9">
                  <c:v>310</c:v>
                </c:pt>
                <c:pt idx="10">
                  <c:v>320</c:v>
                </c:pt>
                <c:pt idx="11">
                  <c:v>450</c:v>
                </c:pt>
                <c:pt idx="12">
                  <c:v>970</c:v>
                </c:pt>
                <c:pt idx="13">
                  <c:v>1230</c:v>
                </c:pt>
                <c:pt idx="14">
                  <c:v>1600</c:v>
                </c:pt>
                <c:pt idx="15">
                  <c:v>3159</c:v>
                </c:pt>
                <c:pt idx="16">
                  <c:v>3450</c:v>
                </c:pt>
                <c:pt idx="17">
                  <c:v>4830</c:v>
                </c:pt>
                <c:pt idx="18">
                  <c:v>7690</c:v>
                </c:pt>
                <c:pt idx="19">
                  <c:v>10790</c:v>
                </c:pt>
                <c:pt idx="20">
                  <c:v>15390</c:v>
                </c:pt>
                <c:pt idx="21">
                  <c:v>16030</c:v>
                </c:pt>
                <c:pt idx="22">
                  <c:v>24760</c:v>
                </c:pt>
                <c:pt idx="23">
                  <c:v>25210</c:v>
                </c:pt>
                <c:pt idx="24">
                  <c:v>28380</c:v>
                </c:pt>
                <c:pt idx="25">
                  <c:v>30020</c:v>
                </c:pt>
                <c:pt idx="26">
                  <c:v>35750</c:v>
                </c:pt>
                <c:pt idx="27">
                  <c:v>42000</c:v>
                </c:pt>
                <c:pt idx="28">
                  <c:v>47980</c:v>
                </c:pt>
                <c:pt idx="29">
                  <c:v>53680</c:v>
                </c:pt>
                <c:pt idx="30">
                  <c:v>53740</c:v>
                </c:pt>
                <c:pt idx="31">
                  <c:v>67400</c:v>
                </c:pt>
                <c:pt idx="32">
                  <c:v>67680</c:v>
                </c:pt>
                <c:pt idx="33">
                  <c:v>75480</c:v>
                </c:pt>
                <c:pt idx="34">
                  <c:v>82100</c:v>
                </c:pt>
                <c:pt idx="35">
                  <c:v>98300</c:v>
                </c:pt>
                <c:pt idx="36">
                  <c:v>164800</c:v>
                </c:pt>
                <c:pt idx="37">
                  <c:v>200200</c:v>
                </c:pt>
                <c:pt idx="38">
                  <c:v>239800</c:v>
                </c:pt>
                <c:pt idx="39">
                  <c:v>261000</c:v>
                </c:pt>
              </c:strCache>
            </c:strRef>
          </c:cat>
          <c:val>
            <c:numRef>
              <c:f>Profit!$B$4:$B$44</c:f>
              <c:numCache>
                <c:formatCode>General</c:formatCode>
                <c:ptCount val="40"/>
                <c:pt idx="0">
                  <c:v>1.3</c:v>
                </c:pt>
                <c:pt idx="1">
                  <c:v>1.6</c:v>
                </c:pt>
                <c:pt idx="2">
                  <c:v>2.1</c:v>
                </c:pt>
                <c:pt idx="3">
                  <c:v>4.7</c:v>
                </c:pt>
                <c:pt idx="4">
                  <c:v>4.9000000000000004</c:v>
                </c:pt>
                <c:pt idx="5">
                  <c:v>6.5</c:v>
                </c:pt>
                <c:pt idx="6">
                  <c:v>11.5</c:v>
                </c:pt>
                <c:pt idx="7">
                  <c:v>12</c:v>
                </c:pt>
                <c:pt idx="8">
                  <c:v>30</c:v>
                </c:pt>
                <c:pt idx="9">
                  <c:v>310</c:v>
                </c:pt>
                <c:pt idx="10">
                  <c:v>320</c:v>
                </c:pt>
                <c:pt idx="11">
                  <c:v>450</c:v>
                </c:pt>
                <c:pt idx="12">
                  <c:v>970</c:v>
                </c:pt>
                <c:pt idx="13">
                  <c:v>1230</c:v>
                </c:pt>
                <c:pt idx="14">
                  <c:v>1600</c:v>
                </c:pt>
                <c:pt idx="15">
                  <c:v>3159</c:v>
                </c:pt>
                <c:pt idx="16">
                  <c:v>3450</c:v>
                </c:pt>
                <c:pt idx="17">
                  <c:v>4830</c:v>
                </c:pt>
                <c:pt idx="18">
                  <c:v>7690</c:v>
                </c:pt>
                <c:pt idx="19">
                  <c:v>10790</c:v>
                </c:pt>
                <c:pt idx="20">
                  <c:v>15390</c:v>
                </c:pt>
                <c:pt idx="21">
                  <c:v>16030</c:v>
                </c:pt>
                <c:pt idx="22">
                  <c:v>24760.000000000004</c:v>
                </c:pt>
                <c:pt idx="23">
                  <c:v>25210.000000000004</c:v>
                </c:pt>
                <c:pt idx="24">
                  <c:v>28380</c:v>
                </c:pt>
                <c:pt idx="25">
                  <c:v>30020</c:v>
                </c:pt>
                <c:pt idx="26">
                  <c:v>35750</c:v>
                </c:pt>
                <c:pt idx="27">
                  <c:v>42000</c:v>
                </c:pt>
                <c:pt idx="28">
                  <c:v>47979.999999999993</c:v>
                </c:pt>
                <c:pt idx="29">
                  <c:v>53680</c:v>
                </c:pt>
                <c:pt idx="30">
                  <c:v>53740</c:v>
                </c:pt>
                <c:pt idx="31">
                  <c:v>67400</c:v>
                </c:pt>
                <c:pt idx="32">
                  <c:v>67680</c:v>
                </c:pt>
                <c:pt idx="33">
                  <c:v>75480</c:v>
                </c:pt>
                <c:pt idx="34">
                  <c:v>82100</c:v>
                </c:pt>
                <c:pt idx="35">
                  <c:v>98300</c:v>
                </c:pt>
                <c:pt idx="36">
                  <c:v>164800</c:v>
                </c:pt>
                <c:pt idx="37">
                  <c:v>200200</c:v>
                </c:pt>
                <c:pt idx="38">
                  <c:v>239800</c:v>
                </c:pt>
                <c:pt idx="39">
                  <c:v>261000</c:v>
                </c:pt>
              </c:numCache>
            </c:numRef>
          </c:val>
          <c:extLst>
            <c:ext xmlns:c16="http://schemas.microsoft.com/office/drawing/2014/chart" uri="{C3380CC4-5D6E-409C-BE32-E72D297353CC}">
              <c16:uniqueId val="{00000000-8EBC-415D-AABB-0D119C11A961}"/>
            </c:ext>
          </c:extLst>
        </c:ser>
        <c:dLbls>
          <c:showLegendKey val="0"/>
          <c:showVal val="0"/>
          <c:showCatName val="0"/>
          <c:showSerName val="0"/>
          <c:showPercent val="0"/>
          <c:showBubbleSize val="0"/>
        </c:dLbls>
        <c:gapWidth val="182"/>
        <c:axId val="164615616"/>
        <c:axId val="498546704"/>
      </c:barChart>
      <c:catAx>
        <c:axId val="164615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46704"/>
        <c:crosses val="autoZero"/>
        <c:auto val="1"/>
        <c:lblAlgn val="ctr"/>
        <c:lblOffset val="100"/>
        <c:noMultiLvlLbl val="0"/>
      </c:catAx>
      <c:valAx>
        <c:axId val="498546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Data Analysis Dashboard.xlsx]Sheet5!PivotTable5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Sheet5!$A$4:$A$43</c:f>
              <c:strCache>
                <c:ptCount val="39"/>
                <c:pt idx="0">
                  <c:v>101</c:v>
                </c:pt>
                <c:pt idx="1">
                  <c:v>102</c:v>
                </c:pt>
                <c:pt idx="2">
                  <c:v>103</c:v>
                </c:pt>
                <c:pt idx="3">
                  <c:v>104</c:v>
                </c:pt>
                <c:pt idx="4">
                  <c:v>105</c:v>
                </c:pt>
                <c:pt idx="5">
                  <c:v>106</c:v>
                </c:pt>
                <c:pt idx="6">
                  <c:v>107</c:v>
                </c:pt>
                <c:pt idx="7">
                  <c:v>108</c:v>
                </c:pt>
                <c:pt idx="8">
                  <c:v>109</c:v>
                </c:pt>
                <c:pt idx="9">
                  <c:v>110</c:v>
                </c:pt>
                <c:pt idx="10">
                  <c:v>111</c:v>
                </c:pt>
                <c:pt idx="11">
                  <c:v>112</c:v>
                </c:pt>
                <c:pt idx="12">
                  <c:v>113</c:v>
                </c:pt>
                <c:pt idx="13">
                  <c:v>115</c:v>
                </c:pt>
                <c:pt idx="14">
                  <c:v>116</c:v>
                </c:pt>
                <c:pt idx="15">
                  <c:v>117</c:v>
                </c:pt>
                <c:pt idx="16">
                  <c:v>118</c:v>
                </c:pt>
                <c:pt idx="17">
                  <c:v>119</c:v>
                </c:pt>
                <c:pt idx="18">
                  <c:v>120</c:v>
                </c:pt>
                <c:pt idx="19">
                  <c:v>121</c:v>
                </c:pt>
                <c:pt idx="20">
                  <c:v>122</c:v>
                </c:pt>
                <c:pt idx="21">
                  <c:v>123</c:v>
                </c:pt>
                <c:pt idx="22">
                  <c:v>124</c:v>
                </c:pt>
                <c:pt idx="23">
                  <c:v>125</c:v>
                </c:pt>
                <c:pt idx="24">
                  <c:v>126</c:v>
                </c:pt>
                <c:pt idx="25">
                  <c:v>127</c:v>
                </c:pt>
                <c:pt idx="26">
                  <c:v>128</c:v>
                </c:pt>
                <c:pt idx="27">
                  <c:v>129</c:v>
                </c:pt>
                <c:pt idx="28">
                  <c:v>130</c:v>
                </c:pt>
                <c:pt idx="29">
                  <c:v>131</c:v>
                </c:pt>
                <c:pt idx="30">
                  <c:v>132</c:v>
                </c:pt>
                <c:pt idx="31">
                  <c:v>133</c:v>
                </c:pt>
                <c:pt idx="32">
                  <c:v>134</c:v>
                </c:pt>
                <c:pt idx="33">
                  <c:v>135</c:v>
                </c:pt>
                <c:pt idx="34">
                  <c:v>136</c:v>
                </c:pt>
                <c:pt idx="35">
                  <c:v>137</c:v>
                </c:pt>
                <c:pt idx="36">
                  <c:v>138</c:v>
                </c:pt>
                <c:pt idx="37">
                  <c:v>139</c:v>
                </c:pt>
                <c:pt idx="38">
                  <c:v>140</c:v>
                </c:pt>
              </c:strCache>
            </c:strRef>
          </c:cat>
          <c:val>
            <c:numRef>
              <c:f>Sheet5!$B$4:$B$43</c:f>
              <c:numCache>
                <c:formatCode>General</c:formatCode>
                <c:ptCount val="39"/>
                <c:pt idx="0">
                  <c:v>11.5</c:v>
                </c:pt>
                <c:pt idx="1">
                  <c:v>75480</c:v>
                </c:pt>
                <c:pt idx="2">
                  <c:v>47979.999999999993</c:v>
                </c:pt>
                <c:pt idx="3">
                  <c:v>67400</c:v>
                </c:pt>
                <c:pt idx="4">
                  <c:v>42000</c:v>
                </c:pt>
                <c:pt idx="5">
                  <c:v>0</c:v>
                </c:pt>
                <c:pt idx="6">
                  <c:v>1600</c:v>
                </c:pt>
                <c:pt idx="7">
                  <c:v>3450</c:v>
                </c:pt>
                <c:pt idx="8">
                  <c:v>970</c:v>
                </c:pt>
                <c:pt idx="9">
                  <c:v>2.1</c:v>
                </c:pt>
                <c:pt idx="10">
                  <c:v>4830</c:v>
                </c:pt>
                <c:pt idx="11">
                  <c:v>0</c:v>
                </c:pt>
                <c:pt idx="12">
                  <c:v>53680</c:v>
                </c:pt>
                <c:pt idx="13">
                  <c:v>25210.000000000004</c:v>
                </c:pt>
                <c:pt idx="14">
                  <c:v>35750</c:v>
                </c:pt>
                <c:pt idx="15">
                  <c:v>200200</c:v>
                </c:pt>
                <c:pt idx="16">
                  <c:v>12</c:v>
                </c:pt>
                <c:pt idx="17">
                  <c:v>261000</c:v>
                </c:pt>
                <c:pt idx="18">
                  <c:v>28380</c:v>
                </c:pt>
                <c:pt idx="19">
                  <c:v>82100</c:v>
                </c:pt>
                <c:pt idx="20">
                  <c:v>30020</c:v>
                </c:pt>
                <c:pt idx="21">
                  <c:v>98300</c:v>
                </c:pt>
                <c:pt idx="22">
                  <c:v>24760.000000000004</c:v>
                </c:pt>
                <c:pt idx="23">
                  <c:v>239800</c:v>
                </c:pt>
                <c:pt idx="24">
                  <c:v>164800</c:v>
                </c:pt>
                <c:pt idx="25">
                  <c:v>30</c:v>
                </c:pt>
                <c:pt idx="26">
                  <c:v>1230</c:v>
                </c:pt>
                <c:pt idx="27">
                  <c:v>310</c:v>
                </c:pt>
                <c:pt idx="28">
                  <c:v>7690</c:v>
                </c:pt>
                <c:pt idx="29">
                  <c:v>4.9000000000000004</c:v>
                </c:pt>
                <c:pt idx="30">
                  <c:v>1.6</c:v>
                </c:pt>
                <c:pt idx="31">
                  <c:v>6.5</c:v>
                </c:pt>
                <c:pt idx="32">
                  <c:v>4.7</c:v>
                </c:pt>
                <c:pt idx="33">
                  <c:v>3159</c:v>
                </c:pt>
                <c:pt idx="34">
                  <c:v>10790</c:v>
                </c:pt>
                <c:pt idx="35">
                  <c:v>15390</c:v>
                </c:pt>
                <c:pt idx="36">
                  <c:v>53740</c:v>
                </c:pt>
                <c:pt idx="37">
                  <c:v>1.3</c:v>
                </c:pt>
                <c:pt idx="38">
                  <c:v>450</c:v>
                </c:pt>
              </c:numCache>
            </c:numRef>
          </c:val>
          <c:extLst>
            <c:ext xmlns:c16="http://schemas.microsoft.com/office/drawing/2014/chart" uri="{C3380CC4-5D6E-409C-BE32-E72D297353CC}">
              <c16:uniqueId val="{00000000-189D-457B-93FA-D3B845CC4528}"/>
            </c:ext>
          </c:extLst>
        </c:ser>
        <c:dLbls>
          <c:dLblPos val="inEnd"/>
          <c:showLegendKey val="0"/>
          <c:showVal val="1"/>
          <c:showCatName val="0"/>
          <c:showSerName val="0"/>
          <c:showPercent val="0"/>
          <c:showBubbleSize val="0"/>
        </c:dLbls>
        <c:gapWidth val="65"/>
        <c:overlap val="100"/>
        <c:axId val="934896560"/>
        <c:axId val="1286348655"/>
      </c:barChart>
      <c:catAx>
        <c:axId val="9348965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6348655"/>
        <c:crosses val="autoZero"/>
        <c:auto val="1"/>
        <c:lblAlgn val="ctr"/>
        <c:lblOffset val="100"/>
        <c:noMultiLvlLbl val="0"/>
      </c:catAx>
      <c:valAx>
        <c:axId val="12863486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348965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87193</xdr:colOff>
      <xdr:row>0</xdr:row>
      <xdr:rowOff>0</xdr:rowOff>
    </xdr:from>
    <xdr:to>
      <xdr:col>22</xdr:col>
      <xdr:colOff>281280</xdr:colOff>
      <xdr:row>49</xdr:row>
      <xdr:rowOff>157348</xdr:rowOff>
    </xdr:to>
    <xdr:sp macro="" textlink="">
      <xdr:nvSpPr>
        <xdr:cNvPr id="2" name="Rectangle 1">
          <a:extLst>
            <a:ext uri="{FF2B5EF4-FFF2-40B4-BE49-F238E27FC236}">
              <a16:creationId xmlns:a16="http://schemas.microsoft.com/office/drawing/2014/main" id="{AEB90438-75E7-F7F5-0205-10E860C81FFE}"/>
            </a:ext>
          </a:extLst>
        </xdr:cNvPr>
        <xdr:cNvSpPr/>
      </xdr:nvSpPr>
      <xdr:spPr>
        <a:xfrm>
          <a:off x="1915993" y="0"/>
          <a:ext cx="11776487" cy="9065821"/>
        </a:xfrm>
        <a:prstGeom prst="rect">
          <a:avLst/>
        </a:prstGeom>
        <a:solidFill>
          <a:schemeClr val="accent1">
            <a:lumMod val="40000"/>
            <a:lumOff val="60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solidFill>
              <a:schemeClr val="bg2"/>
            </a:solidFill>
          </a:endParaRPr>
        </a:p>
      </xdr:txBody>
    </xdr:sp>
    <xdr:clientData/>
  </xdr:twoCellAnchor>
  <xdr:twoCellAnchor>
    <xdr:from>
      <xdr:col>9</xdr:col>
      <xdr:colOff>346102</xdr:colOff>
      <xdr:row>1</xdr:row>
      <xdr:rowOff>25103</xdr:rowOff>
    </xdr:from>
    <xdr:to>
      <xdr:col>15</xdr:col>
      <xdr:colOff>186978</xdr:colOff>
      <xdr:row>2</xdr:row>
      <xdr:rowOff>173918</xdr:rowOff>
    </xdr:to>
    <xdr:sp macro="" textlink="">
      <xdr:nvSpPr>
        <xdr:cNvPr id="12" name="TextBox 11">
          <a:extLst>
            <a:ext uri="{FF2B5EF4-FFF2-40B4-BE49-F238E27FC236}">
              <a16:creationId xmlns:a16="http://schemas.microsoft.com/office/drawing/2014/main" id="{C56DF24C-BE60-5CB1-A37C-3237DA078684}"/>
            </a:ext>
          </a:extLst>
        </xdr:cNvPr>
        <xdr:cNvSpPr txBox="1"/>
      </xdr:nvSpPr>
      <xdr:spPr>
        <a:xfrm>
          <a:off x="5832502" y="210160"/>
          <a:ext cx="3498476" cy="333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Movies Analysis Dashboard</a:t>
          </a:r>
        </a:p>
      </xdr:txBody>
    </xdr:sp>
    <xdr:clientData/>
  </xdr:twoCellAnchor>
  <xdr:oneCellAnchor>
    <xdr:from>
      <xdr:col>8</xdr:col>
      <xdr:colOff>556260</xdr:colOff>
      <xdr:row>4</xdr:row>
      <xdr:rowOff>15240</xdr:rowOff>
    </xdr:from>
    <xdr:ext cx="184731" cy="264560"/>
    <xdr:sp macro="" textlink="">
      <xdr:nvSpPr>
        <xdr:cNvPr id="15" name="TextBox 14">
          <a:extLst>
            <a:ext uri="{FF2B5EF4-FFF2-40B4-BE49-F238E27FC236}">
              <a16:creationId xmlns:a16="http://schemas.microsoft.com/office/drawing/2014/main" id="{D7FAA573-38D4-C9CE-5B0E-476123AC90F0}"/>
            </a:ext>
          </a:extLst>
        </xdr:cNvPr>
        <xdr:cNvSpPr txBox="1"/>
      </xdr:nvSpPr>
      <xdr:spPr>
        <a:xfrm>
          <a:off x="5433060" y="830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204010</xdr:colOff>
      <xdr:row>5</xdr:row>
      <xdr:rowOff>64802</xdr:rowOff>
    </xdr:from>
    <xdr:to>
      <xdr:col>7</xdr:col>
      <xdr:colOff>325932</xdr:colOff>
      <xdr:row>10</xdr:row>
      <xdr:rowOff>19082</xdr:rowOff>
    </xdr:to>
    <xdr:sp macro="" textlink="">
      <xdr:nvSpPr>
        <xdr:cNvPr id="16" name="Rectangle: Rounded Corners 15">
          <a:extLst>
            <a:ext uri="{FF2B5EF4-FFF2-40B4-BE49-F238E27FC236}">
              <a16:creationId xmlns:a16="http://schemas.microsoft.com/office/drawing/2014/main" id="{CB1B49EA-729A-0638-0EC5-11C885795DF0}"/>
            </a:ext>
          </a:extLst>
        </xdr:cNvPr>
        <xdr:cNvSpPr/>
      </xdr:nvSpPr>
      <xdr:spPr>
        <a:xfrm>
          <a:off x="2642410" y="1077173"/>
          <a:ext cx="1950722" cy="87956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cap="none" spc="0">
              <a:ln w="0"/>
              <a:solidFill>
                <a:sysClr val="windowText" lastClr="000000"/>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Movies</a:t>
          </a:r>
          <a:r>
            <a:rPr lang="en-IN" sz="1400" b="1" cap="none" spc="0" baseline="0">
              <a:ln w="0"/>
              <a:solidFill>
                <a:sysClr val="windowText" lastClr="000000"/>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count</a:t>
          </a:r>
          <a:endParaRPr lang="en-IN" sz="1400" b="1" cap="none" spc="0">
            <a:ln w="0"/>
            <a:solidFill>
              <a:sysClr val="windowText" lastClr="000000"/>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504265</xdr:colOff>
      <xdr:row>5</xdr:row>
      <xdr:rowOff>56863</xdr:rowOff>
    </xdr:from>
    <xdr:to>
      <xdr:col>14</xdr:col>
      <xdr:colOff>435685</xdr:colOff>
      <xdr:row>10</xdr:row>
      <xdr:rowOff>14729</xdr:rowOff>
    </xdr:to>
    <xdr:sp macro="" textlink="">
      <xdr:nvSpPr>
        <xdr:cNvPr id="18" name="Rectangle: Rounded Corners 17">
          <a:extLst>
            <a:ext uri="{FF2B5EF4-FFF2-40B4-BE49-F238E27FC236}">
              <a16:creationId xmlns:a16="http://schemas.microsoft.com/office/drawing/2014/main" id="{C2EDC7C5-C76A-432C-A26E-91DE2327C9E2}"/>
            </a:ext>
          </a:extLst>
        </xdr:cNvPr>
        <xdr:cNvSpPr/>
      </xdr:nvSpPr>
      <xdr:spPr>
        <a:xfrm>
          <a:off x="7209865" y="1069234"/>
          <a:ext cx="1760220" cy="883152"/>
        </a:xfrm>
        <a:prstGeom prst="roundRect">
          <a:avLst>
            <a:gd name="adj" fmla="val 2611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 </a:t>
          </a:r>
          <a:r>
            <a:rPr lang="en-US" sz="14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Language  count</a:t>
          </a:r>
          <a:endParaRPr lang="en-US"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319272</xdr:colOff>
      <xdr:row>5</xdr:row>
      <xdr:rowOff>19465</xdr:rowOff>
    </xdr:from>
    <xdr:to>
      <xdr:col>18</xdr:col>
      <xdr:colOff>250692</xdr:colOff>
      <xdr:row>9</xdr:row>
      <xdr:rowOff>153039</xdr:rowOff>
    </xdr:to>
    <xdr:sp macro="" textlink="">
      <xdr:nvSpPr>
        <xdr:cNvPr id="20" name="Rectangle: Rounded Corners 19">
          <a:extLst>
            <a:ext uri="{FF2B5EF4-FFF2-40B4-BE49-F238E27FC236}">
              <a16:creationId xmlns:a16="http://schemas.microsoft.com/office/drawing/2014/main" id="{FE87D1CA-9803-4D78-AD75-5C86B78FCA9B}"/>
            </a:ext>
          </a:extLst>
        </xdr:cNvPr>
        <xdr:cNvSpPr/>
      </xdr:nvSpPr>
      <xdr:spPr>
        <a:xfrm>
          <a:off x="9463272" y="1005583"/>
          <a:ext cx="1760220" cy="8507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Industry count</a:t>
          </a:r>
        </a:p>
      </xdr:txBody>
    </xdr:sp>
    <xdr:clientData/>
  </xdr:twoCellAnchor>
  <xdr:oneCellAnchor>
    <xdr:from>
      <xdr:col>4</xdr:col>
      <xdr:colOff>480060</xdr:colOff>
      <xdr:row>9</xdr:row>
      <xdr:rowOff>0</xdr:rowOff>
    </xdr:from>
    <xdr:ext cx="184731" cy="264560"/>
    <xdr:sp macro="" textlink="">
      <xdr:nvSpPr>
        <xdr:cNvPr id="4" name="TextBox 3">
          <a:extLst>
            <a:ext uri="{FF2B5EF4-FFF2-40B4-BE49-F238E27FC236}">
              <a16:creationId xmlns:a16="http://schemas.microsoft.com/office/drawing/2014/main" id="{B88FFEA0-7CC4-B142-EE7F-EE5E2678026A}"/>
            </a:ext>
          </a:extLst>
        </xdr:cNvPr>
        <xdr:cNvSpPr txBox="1"/>
      </xdr:nvSpPr>
      <xdr:spPr>
        <a:xfrm>
          <a:off x="2918460" y="17297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419100</xdr:colOff>
      <xdr:row>9</xdr:row>
      <xdr:rowOff>30480</xdr:rowOff>
    </xdr:from>
    <xdr:ext cx="184731" cy="264560"/>
    <xdr:sp macro="" textlink="">
      <xdr:nvSpPr>
        <xdr:cNvPr id="5" name="TextBox 4">
          <a:extLst>
            <a:ext uri="{FF2B5EF4-FFF2-40B4-BE49-F238E27FC236}">
              <a16:creationId xmlns:a16="http://schemas.microsoft.com/office/drawing/2014/main" id="{433B0313-BF4E-AC59-2C44-F83CCDD7D60D}"/>
            </a:ext>
          </a:extLst>
        </xdr:cNvPr>
        <xdr:cNvSpPr txBox="1"/>
      </xdr:nvSpPr>
      <xdr:spPr>
        <a:xfrm>
          <a:off x="2857500" y="1760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19</xdr:col>
      <xdr:colOff>71078</xdr:colOff>
      <xdr:row>5</xdr:row>
      <xdr:rowOff>27709</xdr:rowOff>
    </xdr:from>
    <xdr:to>
      <xdr:col>22</xdr:col>
      <xdr:colOff>2498</xdr:colOff>
      <xdr:row>9</xdr:row>
      <xdr:rowOff>148111</xdr:rowOff>
    </xdr:to>
    <xdr:sp macro="" textlink="">
      <xdr:nvSpPr>
        <xdr:cNvPr id="24" name="Rectangle: Rounded Corners 23">
          <a:extLst>
            <a:ext uri="{FF2B5EF4-FFF2-40B4-BE49-F238E27FC236}">
              <a16:creationId xmlns:a16="http://schemas.microsoft.com/office/drawing/2014/main" id="{5BDABD49-9DE8-4930-B0F2-883B2C1BEC0D}"/>
            </a:ext>
          </a:extLst>
        </xdr:cNvPr>
        <xdr:cNvSpPr/>
      </xdr:nvSpPr>
      <xdr:spPr>
        <a:xfrm>
          <a:off x="11653478" y="1011382"/>
          <a:ext cx="1760220" cy="840838"/>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cap="none" spc="0">
              <a:ln w="0">
                <a:noFill/>
              </a:ln>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Total</a:t>
          </a:r>
          <a:r>
            <a:rPr lang="en-IN" sz="1400" b="1" cap="none" spc="0" baseline="0">
              <a:ln w="0">
                <a:noFill/>
              </a:ln>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profit</a:t>
          </a:r>
          <a:endParaRPr lang="en-IN" sz="1400" b="1" cap="none" spc="0">
            <a:ln w="0">
              <a:noFill/>
            </a:ln>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315685</xdr:colOff>
      <xdr:row>7</xdr:row>
      <xdr:rowOff>21771</xdr:rowOff>
    </xdr:from>
    <xdr:to>
      <xdr:col>21</xdr:col>
      <xdr:colOff>395152</xdr:colOff>
      <xdr:row>8</xdr:row>
      <xdr:rowOff>75558</xdr:rowOff>
    </xdr:to>
    <xdr:sp macro="" textlink="Profit!B45">
      <xdr:nvSpPr>
        <xdr:cNvPr id="27" name="TextBox 26">
          <a:extLst>
            <a:ext uri="{FF2B5EF4-FFF2-40B4-BE49-F238E27FC236}">
              <a16:creationId xmlns:a16="http://schemas.microsoft.com/office/drawing/2014/main" id="{66D6FD17-5292-EC5C-8DD0-1828813257A4}"/>
            </a:ext>
          </a:extLst>
        </xdr:cNvPr>
        <xdr:cNvSpPr txBox="1"/>
      </xdr:nvSpPr>
      <xdr:spPr>
        <a:xfrm>
          <a:off x="11898085" y="1404257"/>
          <a:ext cx="1298667" cy="2388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198AA7-FB75-44E0-8007-54990900E2BB}" type="TxLink">
            <a:rPr lang="en-US" sz="1200" b="1" i="0" u="none" strike="noStrike">
              <a:ln>
                <a:noFill/>
              </a:ln>
              <a:solidFill>
                <a:srgbClr val="000000"/>
              </a:solidFill>
              <a:latin typeface="Calibri" panose="020F0502020204030204" pitchFamily="34" charset="0"/>
              <a:ea typeface="Calibri" panose="020F0502020204030204" pitchFamily="34" charset="0"/>
              <a:cs typeface="Calibri" panose="020F0502020204030204" pitchFamily="34" charset="0"/>
            </a:rPr>
            <a:pPr algn="ctr"/>
            <a:t>1664573.6</a:t>
          </a:fld>
          <a:endParaRPr lang="en-IN" sz="1200" b="1">
            <a:ln>
              <a:noFill/>
            </a:ln>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489025</xdr:colOff>
      <xdr:row>8</xdr:row>
      <xdr:rowOff>8963</xdr:rowOff>
    </xdr:from>
    <xdr:to>
      <xdr:col>7</xdr:col>
      <xdr:colOff>31825</xdr:colOff>
      <xdr:row>9</xdr:row>
      <xdr:rowOff>117669</xdr:rowOff>
    </xdr:to>
    <xdr:sp macro="" textlink="'movies-count'!C44">
      <xdr:nvSpPr>
        <xdr:cNvPr id="28" name="TextBox 27">
          <a:extLst>
            <a:ext uri="{FF2B5EF4-FFF2-40B4-BE49-F238E27FC236}">
              <a16:creationId xmlns:a16="http://schemas.microsoft.com/office/drawing/2014/main" id="{211A21AC-3E38-4C42-7319-311FC01D5A4D}"/>
            </a:ext>
          </a:extLst>
        </xdr:cNvPr>
        <xdr:cNvSpPr txBox="1"/>
      </xdr:nvSpPr>
      <xdr:spPr>
        <a:xfrm>
          <a:off x="2927425" y="1532963"/>
          <a:ext cx="13716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620EE2-D2AC-49C1-BDC0-0DCEC789CA17}"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39</a:t>
          </a:fld>
          <a:endParaRPr lang="en-IN"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96884</xdr:colOff>
      <xdr:row>7</xdr:row>
      <xdr:rowOff>163735</xdr:rowOff>
    </xdr:from>
    <xdr:to>
      <xdr:col>14</xdr:col>
      <xdr:colOff>348344</xdr:colOff>
      <xdr:row>9</xdr:row>
      <xdr:rowOff>58912</xdr:rowOff>
    </xdr:to>
    <xdr:sp macro="" textlink="#REF!">
      <xdr:nvSpPr>
        <xdr:cNvPr id="30" name="TextBox 29">
          <a:extLst>
            <a:ext uri="{FF2B5EF4-FFF2-40B4-BE49-F238E27FC236}">
              <a16:creationId xmlns:a16="http://schemas.microsoft.com/office/drawing/2014/main" id="{3815B8E4-F035-3FE9-82FF-5C445A980E22}"/>
            </a:ext>
          </a:extLst>
        </xdr:cNvPr>
        <xdr:cNvSpPr txBox="1"/>
      </xdr:nvSpPr>
      <xdr:spPr>
        <a:xfrm>
          <a:off x="7412084" y="1546221"/>
          <a:ext cx="1470660" cy="265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AE6283-3233-4DE6-9D9F-F14CEF9CFE32}"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5</a:t>
          </a:fld>
          <a:endParaRPr lang="en-IN"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558094</xdr:colOff>
      <xdr:row>7</xdr:row>
      <xdr:rowOff>78016</xdr:rowOff>
    </xdr:from>
    <xdr:to>
      <xdr:col>18</xdr:col>
      <xdr:colOff>199954</xdr:colOff>
      <xdr:row>8</xdr:row>
      <xdr:rowOff>173490</xdr:rowOff>
    </xdr:to>
    <xdr:sp macro="" textlink="'industry-count'!B7">
      <xdr:nvSpPr>
        <xdr:cNvPr id="32" name="TextBox 31">
          <a:extLst>
            <a:ext uri="{FF2B5EF4-FFF2-40B4-BE49-F238E27FC236}">
              <a16:creationId xmlns:a16="http://schemas.microsoft.com/office/drawing/2014/main" id="{5F302349-57BE-4462-56E3-3F0A531D6353}"/>
            </a:ext>
          </a:extLst>
        </xdr:cNvPr>
        <xdr:cNvSpPr txBox="1"/>
      </xdr:nvSpPr>
      <xdr:spPr>
        <a:xfrm>
          <a:off x="9702094" y="1421907"/>
          <a:ext cx="1470660" cy="275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4ED3A5-BBC5-49E9-BFA1-DF973CBAE903}"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2</a:t>
          </a:fld>
          <a:endParaRPr lang="en-IN"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129987</xdr:colOff>
      <xdr:row>5</xdr:row>
      <xdr:rowOff>25998</xdr:rowOff>
    </xdr:from>
    <xdr:to>
      <xdr:col>11</xdr:col>
      <xdr:colOff>107127</xdr:colOff>
      <xdr:row>10</xdr:row>
      <xdr:rowOff>25998</xdr:rowOff>
    </xdr:to>
    <xdr:sp macro="" textlink="">
      <xdr:nvSpPr>
        <xdr:cNvPr id="34" name="Rectangle: Rounded Corners 33">
          <a:extLst>
            <a:ext uri="{FF2B5EF4-FFF2-40B4-BE49-F238E27FC236}">
              <a16:creationId xmlns:a16="http://schemas.microsoft.com/office/drawing/2014/main" id="{44DD4034-16B2-EC9A-4410-1F1ACC95B1D5}"/>
            </a:ext>
          </a:extLst>
        </xdr:cNvPr>
        <xdr:cNvSpPr/>
      </xdr:nvSpPr>
      <xdr:spPr>
        <a:xfrm>
          <a:off x="5006787" y="1012116"/>
          <a:ext cx="1805940" cy="89647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Studio</a:t>
          </a:r>
          <a:r>
            <a:rPr lang="en-IN" sz="14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count</a:t>
          </a:r>
          <a:endParaRPr lang="en-IN" sz="14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265355</xdr:colOff>
      <xdr:row>7</xdr:row>
      <xdr:rowOff>165398</xdr:rowOff>
    </xdr:from>
    <xdr:to>
      <xdr:col>10</xdr:col>
      <xdr:colOff>524435</xdr:colOff>
      <xdr:row>9</xdr:row>
      <xdr:rowOff>58718</xdr:rowOff>
    </xdr:to>
    <xdr:sp macro="" textlink="'stu-co'!B27">
      <xdr:nvSpPr>
        <xdr:cNvPr id="35" name="TextBox 34">
          <a:extLst>
            <a:ext uri="{FF2B5EF4-FFF2-40B4-BE49-F238E27FC236}">
              <a16:creationId xmlns:a16="http://schemas.microsoft.com/office/drawing/2014/main" id="{5413D868-50BE-2484-0D4E-B7C5B0188B31}"/>
            </a:ext>
          </a:extLst>
        </xdr:cNvPr>
        <xdr:cNvSpPr txBox="1"/>
      </xdr:nvSpPr>
      <xdr:spPr>
        <a:xfrm>
          <a:off x="5142155" y="1510104"/>
          <a:ext cx="1478280" cy="251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938631-8A07-41FB-A23C-F4B45D6831BD}"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22</a:t>
          </a:fld>
          <a:endParaRPr lang="en-IN"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3</xdr:col>
      <xdr:colOff>286871</xdr:colOff>
      <xdr:row>13</xdr:row>
      <xdr:rowOff>119742</xdr:rowOff>
    </xdr:from>
    <xdr:to>
      <xdr:col>6</xdr:col>
      <xdr:colOff>286871</xdr:colOff>
      <xdr:row>28</xdr:row>
      <xdr:rowOff>2641</xdr:rowOff>
    </xdr:to>
    <mc:AlternateContent xmlns:mc="http://schemas.openxmlformats.org/markup-compatibility/2006" xmlns:a14="http://schemas.microsoft.com/office/drawing/2010/main">
      <mc:Choice Requires="a14">
        <xdr:graphicFrame macro="">
          <xdr:nvGraphicFramePr>
            <xdr:cNvPr id="36" name="industry 1">
              <a:extLst>
                <a:ext uri="{FF2B5EF4-FFF2-40B4-BE49-F238E27FC236}">
                  <a16:creationId xmlns:a16="http://schemas.microsoft.com/office/drawing/2014/main" id="{53163449-96D3-4630-B530-16E7C1C660A7}"/>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2115671" y="2544287"/>
              <a:ext cx="1828800" cy="2584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238845</xdr:colOff>
      <xdr:row>30</xdr:row>
      <xdr:rowOff>0</xdr:rowOff>
    </xdr:from>
    <xdr:to>
      <xdr:col>6</xdr:col>
      <xdr:colOff>238845</xdr:colOff>
      <xdr:row>44</xdr:row>
      <xdr:rowOff>163749</xdr:rowOff>
    </xdr:to>
    <mc:AlternateContent xmlns:mc="http://schemas.openxmlformats.org/markup-compatibility/2006" xmlns:a14="http://schemas.microsoft.com/office/drawing/2010/main">
      <mc:Choice Requires="a14">
        <xdr:graphicFrame macro="">
          <xdr:nvGraphicFramePr>
            <xdr:cNvPr id="37" name="studio 2">
              <a:extLst>
                <a:ext uri="{FF2B5EF4-FFF2-40B4-BE49-F238E27FC236}">
                  <a16:creationId xmlns:a16="http://schemas.microsoft.com/office/drawing/2014/main" id="{2BCD633B-24C2-4869-929B-4AC733FFB743}"/>
                </a:ext>
              </a:extLst>
            </xdr:cNvPr>
            <xdr:cNvGraphicFramePr/>
          </xdr:nvGraphicFramePr>
          <xdr:xfrm>
            <a:off x="0" y="0"/>
            <a:ext cx="0" cy="0"/>
          </xdr:xfrm>
          <a:graphic>
            <a:graphicData uri="http://schemas.microsoft.com/office/drawing/2010/slicer">
              <sle:slicer xmlns:sle="http://schemas.microsoft.com/office/drawing/2010/slicer" name="studio 2"/>
            </a:graphicData>
          </a:graphic>
        </xdr:graphicFrame>
      </mc:Choice>
      <mc:Fallback xmlns="">
        <xdr:sp macro="" textlink="">
          <xdr:nvSpPr>
            <xdr:cNvPr id="0" name=""/>
            <xdr:cNvSpPr>
              <a:spLocks noTextEdit="1"/>
            </xdr:cNvSpPr>
          </xdr:nvSpPr>
          <xdr:spPr>
            <a:xfrm>
              <a:off x="2067645" y="5486400"/>
              <a:ext cx="1828800" cy="2685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417900</xdr:colOff>
      <xdr:row>13</xdr:row>
      <xdr:rowOff>108543</xdr:rowOff>
    </xdr:from>
    <xdr:to>
      <xdr:col>22</xdr:col>
      <xdr:colOff>113100</xdr:colOff>
      <xdr:row>28</xdr:row>
      <xdr:rowOff>75886</xdr:rowOff>
    </xdr:to>
    <xdr:graphicFrame macro="">
      <xdr:nvGraphicFramePr>
        <xdr:cNvPr id="43" name="Chart 42">
          <a:extLst>
            <a:ext uri="{FF2B5EF4-FFF2-40B4-BE49-F238E27FC236}">
              <a16:creationId xmlns:a16="http://schemas.microsoft.com/office/drawing/2014/main" id="{FEEC1228-2950-4E6D-8EEA-6EDFDAA76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364621</xdr:colOff>
      <xdr:row>29</xdr:row>
      <xdr:rowOff>169430</xdr:rowOff>
    </xdr:from>
    <xdr:to>
      <xdr:col>22</xdr:col>
      <xdr:colOff>59821</xdr:colOff>
      <xdr:row>44</xdr:row>
      <xdr:rowOff>135959</xdr:rowOff>
    </xdr:to>
    <xdr:graphicFrame macro="">
      <xdr:nvGraphicFramePr>
        <xdr:cNvPr id="45" name="Chart 44">
          <a:extLst>
            <a:ext uri="{FF2B5EF4-FFF2-40B4-BE49-F238E27FC236}">
              <a16:creationId xmlns:a16="http://schemas.microsoft.com/office/drawing/2014/main" id="{14FAE4E2-15CC-45F5-8BDE-0B76C42A7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511628</xdr:colOff>
      <xdr:row>13</xdr:row>
      <xdr:rowOff>54428</xdr:rowOff>
    </xdr:from>
    <xdr:to>
      <xdr:col>14</xdr:col>
      <xdr:colOff>206828</xdr:colOff>
      <xdr:row>28</xdr:row>
      <xdr:rowOff>21771</xdr:rowOff>
    </xdr:to>
    <xdr:graphicFrame macro="">
      <xdr:nvGraphicFramePr>
        <xdr:cNvPr id="8" name="Chart 7">
          <a:extLst>
            <a:ext uri="{FF2B5EF4-FFF2-40B4-BE49-F238E27FC236}">
              <a16:creationId xmlns:a16="http://schemas.microsoft.com/office/drawing/2014/main" id="{147AEB99-4136-47BD-A614-9E09CB779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26</xdr:col>
      <xdr:colOff>35859</xdr:colOff>
      <xdr:row>9</xdr:row>
      <xdr:rowOff>71718</xdr:rowOff>
    </xdr:from>
    <xdr:ext cx="184731" cy="264560"/>
    <xdr:sp macro="" textlink="">
      <xdr:nvSpPr>
        <xdr:cNvPr id="9" name="TextBox 8">
          <a:extLst>
            <a:ext uri="{FF2B5EF4-FFF2-40B4-BE49-F238E27FC236}">
              <a16:creationId xmlns:a16="http://schemas.microsoft.com/office/drawing/2014/main" id="{202CAE33-3DC6-9756-A16D-A8D707C967D3}"/>
            </a:ext>
          </a:extLst>
        </xdr:cNvPr>
        <xdr:cNvSpPr txBox="1"/>
      </xdr:nvSpPr>
      <xdr:spPr>
        <a:xfrm>
          <a:off x="15885459" y="177501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415637</xdr:colOff>
      <xdr:row>29</xdr:row>
      <xdr:rowOff>110835</xdr:rowOff>
    </xdr:from>
    <xdr:to>
      <xdr:col>14</xdr:col>
      <xdr:colOff>110837</xdr:colOff>
      <xdr:row>44</xdr:row>
      <xdr:rowOff>152399</xdr:rowOff>
    </xdr:to>
    <xdr:graphicFrame macro="">
      <xdr:nvGraphicFramePr>
        <xdr:cNvPr id="11" name="Chart 10">
          <a:extLst>
            <a:ext uri="{FF2B5EF4-FFF2-40B4-BE49-F238E27FC236}">
              <a16:creationId xmlns:a16="http://schemas.microsoft.com/office/drawing/2014/main" id="{B8454BC7-1F05-43C3-BEF7-32C0ADFD2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284018</xdr:colOff>
      <xdr:row>22</xdr:row>
      <xdr:rowOff>138545</xdr:rowOff>
    </xdr:from>
    <xdr:to>
      <xdr:col>21</xdr:col>
      <xdr:colOff>588818</xdr:colOff>
      <xdr:row>27</xdr:row>
      <xdr:rowOff>152399</xdr:rowOff>
    </xdr:to>
    <xdr:sp macro="" textlink="">
      <xdr:nvSpPr>
        <xdr:cNvPr id="3" name="TextBox 2">
          <a:extLst>
            <a:ext uri="{FF2B5EF4-FFF2-40B4-BE49-F238E27FC236}">
              <a16:creationId xmlns:a16="http://schemas.microsoft.com/office/drawing/2014/main" id="{50E41A48-F4EB-BBA1-8718-10A77AF4194F}"/>
            </a:ext>
          </a:extLst>
        </xdr:cNvPr>
        <xdr:cNvSpPr txBox="1"/>
      </xdr:nvSpPr>
      <xdr:spPr>
        <a:xfrm>
          <a:off x="12476018" y="4184072"/>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ysClr val="windowText" lastClr="000000"/>
            </a:solidFill>
          </a:endParaRPr>
        </a:p>
      </xdr:txBody>
    </xdr:sp>
    <xdr:clientData/>
  </xdr:twoCellAnchor>
  <xdr:oneCellAnchor>
    <xdr:from>
      <xdr:col>29</xdr:col>
      <xdr:colOff>27709</xdr:colOff>
      <xdr:row>10</xdr:row>
      <xdr:rowOff>110837</xdr:rowOff>
    </xdr:from>
    <xdr:ext cx="184731" cy="264560"/>
    <xdr:sp macro="" textlink="">
      <xdr:nvSpPr>
        <xdr:cNvPr id="6" name="TextBox 5">
          <a:extLst>
            <a:ext uri="{FF2B5EF4-FFF2-40B4-BE49-F238E27FC236}">
              <a16:creationId xmlns:a16="http://schemas.microsoft.com/office/drawing/2014/main" id="{3064718B-348D-B804-D63C-BCB113376E1C}"/>
            </a:ext>
          </a:extLst>
        </xdr:cNvPr>
        <xdr:cNvSpPr txBox="1"/>
      </xdr:nvSpPr>
      <xdr:spPr>
        <a:xfrm>
          <a:off x="17706109" y="19950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300320</xdr:colOff>
      <xdr:row>20</xdr:row>
      <xdr:rowOff>116542</xdr:rowOff>
    </xdr:from>
    <xdr:to>
      <xdr:col>12</xdr:col>
      <xdr:colOff>605120</xdr:colOff>
      <xdr:row>35</xdr:row>
      <xdr:rowOff>170330</xdr:rowOff>
    </xdr:to>
    <xdr:graphicFrame macro="">
      <xdr:nvGraphicFramePr>
        <xdr:cNvPr id="2" name="Chart 1">
          <a:extLst>
            <a:ext uri="{FF2B5EF4-FFF2-40B4-BE49-F238E27FC236}">
              <a16:creationId xmlns:a16="http://schemas.microsoft.com/office/drawing/2014/main" id="{D7F426DD-6171-7F48-9C24-82BA177BB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68580</xdr:colOff>
      <xdr:row>1</xdr:row>
      <xdr:rowOff>160020</xdr:rowOff>
    </xdr:from>
    <xdr:to>
      <xdr:col>9</xdr:col>
      <xdr:colOff>68580</xdr:colOff>
      <xdr:row>15</xdr:row>
      <xdr:rowOff>180975</xdr:rowOff>
    </xdr:to>
    <mc:AlternateContent xmlns:mc="http://schemas.openxmlformats.org/markup-compatibility/2006" xmlns:a14="http://schemas.microsoft.com/office/drawing/2010/main">
      <mc:Choice Requires="a14">
        <xdr:graphicFrame macro="">
          <xdr:nvGraphicFramePr>
            <xdr:cNvPr id="4" name="studio">
              <a:extLst>
                <a:ext uri="{FF2B5EF4-FFF2-40B4-BE49-F238E27FC236}">
                  <a16:creationId xmlns:a16="http://schemas.microsoft.com/office/drawing/2014/main" id="{50817324-10B8-B15C-C900-AA6EA1B7B52F}"/>
                </a:ext>
              </a:extLst>
            </xdr:cNvPr>
            <xdr:cNvGraphicFramePr/>
          </xdr:nvGraphicFramePr>
          <xdr:xfrm>
            <a:off x="0" y="0"/>
            <a:ext cx="0" cy="0"/>
          </xdr:xfrm>
          <a:graphic>
            <a:graphicData uri="http://schemas.microsoft.com/office/drawing/2010/slicer">
              <sle:slicer xmlns:sle="http://schemas.microsoft.com/office/drawing/2010/slicer" name="studio"/>
            </a:graphicData>
          </a:graphic>
        </xdr:graphicFrame>
      </mc:Choice>
      <mc:Fallback xmlns="">
        <xdr:sp macro="" textlink="">
          <xdr:nvSpPr>
            <xdr:cNvPr id="0" name=""/>
            <xdr:cNvSpPr>
              <a:spLocks noTextEdit="1"/>
            </xdr:cNvSpPr>
          </xdr:nvSpPr>
          <xdr:spPr>
            <a:xfrm>
              <a:off x="5097780" y="342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472440</xdr:colOff>
      <xdr:row>4</xdr:row>
      <xdr:rowOff>144780</xdr:rowOff>
    </xdr:from>
    <xdr:to>
      <xdr:col>7</xdr:col>
      <xdr:colOff>472440</xdr:colOff>
      <xdr:row>18</xdr:row>
      <xdr:rowOff>165735</xdr:rowOff>
    </xdr:to>
    <mc:AlternateContent xmlns:mc="http://schemas.openxmlformats.org/markup-compatibility/2006" xmlns:a14="http://schemas.microsoft.com/office/drawing/2010/main">
      <mc:Choice Requires="a14">
        <xdr:graphicFrame macro="">
          <xdr:nvGraphicFramePr>
            <xdr:cNvPr id="2" name="industry">
              <a:extLst>
                <a:ext uri="{FF2B5EF4-FFF2-40B4-BE49-F238E27FC236}">
                  <a16:creationId xmlns:a16="http://schemas.microsoft.com/office/drawing/2014/main" id="{6EAE9896-1DA9-E7F0-5CB1-B06D51133F8B}"/>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4061460" y="876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480060</xdr:colOff>
      <xdr:row>6</xdr:row>
      <xdr:rowOff>41910</xdr:rowOff>
    </xdr:from>
    <xdr:to>
      <xdr:col>11</xdr:col>
      <xdr:colOff>175260</xdr:colOff>
      <xdr:row>21</xdr:row>
      <xdr:rowOff>41910</xdr:rowOff>
    </xdr:to>
    <xdr:graphicFrame macro="">
      <xdr:nvGraphicFramePr>
        <xdr:cNvPr id="3" name="Chart 2">
          <a:extLst>
            <a:ext uri="{FF2B5EF4-FFF2-40B4-BE49-F238E27FC236}">
              <a16:creationId xmlns:a16="http://schemas.microsoft.com/office/drawing/2014/main" id="{D1E3EA3D-9AC9-D431-4D30-762F6D34D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201930</xdr:colOff>
      <xdr:row>6</xdr:row>
      <xdr:rowOff>41910</xdr:rowOff>
    </xdr:from>
    <xdr:to>
      <xdr:col>12</xdr:col>
      <xdr:colOff>506730</xdr:colOff>
      <xdr:row>21</xdr:row>
      <xdr:rowOff>41910</xdr:rowOff>
    </xdr:to>
    <xdr:graphicFrame macro="">
      <xdr:nvGraphicFramePr>
        <xdr:cNvPr id="2" name="Chart 1">
          <a:extLst>
            <a:ext uri="{FF2B5EF4-FFF2-40B4-BE49-F238E27FC236}">
              <a16:creationId xmlns:a16="http://schemas.microsoft.com/office/drawing/2014/main" id="{6285C99D-2E4B-00E8-87A7-5A27C6CCB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araj Begum" refreshedDate="46237.807263888892" createdVersion="8" refreshedVersion="8" minRefreshableVersion="3" recordCount="40" xr:uid="{03DE49B4-0210-4AEB-9240-01D216626769}">
  <cacheSource type="worksheet">
    <worksheetSource name="Table5"/>
  </cacheSource>
  <cacheFields count="7">
    <cacheField name="movie_id" numFmtId="0">
      <sharedItems containsSemiMixedTypes="0" containsString="0" containsNumber="1" containsInteger="1" minValue="101" maxValue="412" count="40">
        <n v="101"/>
        <n v="102"/>
        <n v="103"/>
        <n v="104"/>
        <n v="105"/>
        <n v="107"/>
        <n v="108"/>
        <n v="109"/>
        <n v="110"/>
        <n v="111"/>
        <n v="113"/>
        <n v="114"/>
        <n v="115"/>
        <n v="116"/>
        <n v="117"/>
        <n v="118"/>
        <n v="119"/>
        <n v="120"/>
        <n v="121"/>
        <n v="122"/>
        <n v="123"/>
        <n v="124"/>
        <n v="125"/>
        <n v="126"/>
        <n v="127"/>
        <n v="128"/>
        <n v="129"/>
        <n v="130"/>
        <n v="131"/>
        <n v="132"/>
        <n v="133"/>
        <n v="134"/>
        <n v="135"/>
        <n v="136"/>
        <n v="137"/>
        <n v="138"/>
        <n v="139"/>
        <n v="140"/>
        <n v="406"/>
        <n v="412"/>
      </sharedItems>
    </cacheField>
    <cacheField name="budget" numFmtId="0">
      <sharedItems containsSemiMixedTypes="0" containsString="0" containsNumber="1" minValue="1" maxValue="900"/>
    </cacheField>
    <cacheField name="revenue" numFmtId="0">
      <sharedItems containsSemiMixedTypes="0" containsString="0" containsNumber="1" minValue="3.1" maxValue="11690"/>
    </cacheField>
    <cacheField name="currency" numFmtId="0">
      <sharedItems/>
    </cacheField>
    <cacheField name="budget2" numFmtId="0">
      <sharedItems containsSemiMixedTypes="0" containsString="0" containsNumber="1" minValue="1" maxValue="40000"/>
    </cacheField>
    <cacheField name="currency3" numFmtId="0">
      <sharedItems containsSemiMixedTypes="0" containsString="0" containsNumber="1" minValue="3.1" maxValue="284700"/>
    </cacheField>
    <cacheField name="profit" numFmtId="0">
      <sharedItems containsSemiMixedTypes="0" containsString="0" containsNumber="1" minValue="1.3" maxValue="261000" count="40">
        <n v="11.5"/>
        <n v="75480"/>
        <n v="47979.999999999993"/>
        <n v="67400"/>
        <n v="42000"/>
        <n v="1600"/>
        <n v="3450"/>
        <n v="970"/>
        <n v="2.1"/>
        <n v="4830"/>
        <n v="53680"/>
        <n v="16030"/>
        <n v="25210.000000000004"/>
        <n v="35750"/>
        <n v="200200"/>
        <n v="12"/>
        <n v="261000"/>
        <n v="28380"/>
        <n v="82100"/>
        <n v="30020"/>
        <n v="98300"/>
        <n v="24760.000000000004"/>
        <n v="239800"/>
        <n v="164800"/>
        <n v="30"/>
        <n v="1230"/>
        <n v="310"/>
        <n v="7690"/>
        <n v="4.9000000000000004"/>
        <n v="1.6"/>
        <n v="6.5"/>
        <n v="4.7"/>
        <n v="3159"/>
        <n v="10790"/>
        <n v="15390"/>
        <n v="53740"/>
        <n v="1.3"/>
        <n v="450"/>
        <n v="320"/>
        <n v="67680"/>
      </sharedItems>
    </cacheField>
  </cacheFields>
  <extLst>
    <ext xmlns:x14="http://schemas.microsoft.com/office/spreadsheetml/2009/9/main" uri="{725AE2AE-9491-48be-B2B4-4EB974FC3084}">
      <x14:pivotCacheDefinition pivotCacheId="5986452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araj Begum" refreshedDate="46237.948608796294" createdVersion="8" refreshedVersion="8" minRefreshableVersion="3" recordCount="39" xr:uid="{D2C5D6C3-D0EF-4100-B8C7-411980DC2565}">
  <cacheSource type="worksheet">
    <worksheetSource name="Table2"/>
  </cacheSource>
  <cacheFields count="7">
    <cacheField name="movie_id" numFmtId="0">
      <sharedItems containsSemiMixedTypes="0" containsString="0" containsNumber="1" containsInteger="1" minValue="101" maxValue="140"/>
    </cacheField>
    <cacheField name="Title" numFmtId="0">
      <sharedItems/>
    </cacheField>
    <cacheField name="industry" numFmtId="0">
      <sharedItems count="2">
        <s v="Bollywood"/>
        <s v="Hollywood"/>
      </sharedItems>
    </cacheField>
    <cacheField name="release_year" numFmtId="0">
      <sharedItems containsSemiMixedTypes="0" containsString="0" containsNumber="1" containsInteger="1" minValue="1946" maxValue="2022"/>
    </cacheField>
    <cacheField name="imdb_rating" numFmtId="2">
      <sharedItems containsSemiMixedTypes="0" containsString="0" containsNumber="1" minValue="0" maxValue="9.3000000000000007"/>
    </cacheField>
    <cacheField name="studio" numFmtId="0">
      <sharedItems count="26">
        <s v="Homabalefilms"/>
        <s v="Marvel Studios"/>
        <s v=" Marvel Studios"/>
        <s v="United Producers"/>
        <s v="Yash Raj Films"/>
        <s v="  Vinod Chopra Films"/>
        <s v="Dharma Productions"/>
        <s v="Others"/>
        <s v="Castle Rock Entertainment"/>
        <s v="Warner Bros. Pictures"/>
        <s v="Columbia Pictures"/>
        <s v="Universal Pictures  "/>
        <s v="Paramount Pictures"/>
        <s v="Liberty Films"/>
        <s v="20th Century Fox"/>
        <s v=" Paramount Pictures"/>
        <s v="Syncopy"/>
        <s v="Universal Pictures"/>
        <s v=" Government of West Bengal  "/>
        <s v="Vinod Chopra Productions"/>
        <s v="Vinod Chopra Films"/>
        <s v="Mythri Movie Makers"/>
        <s v="DVV Entertainment"/>
        <s v="Arka Media Works"/>
        <s v="Zee Studios"/>
        <s v="Salman Khan Films"/>
      </sharedItems>
    </cacheField>
    <cacheField name="language_id" numFmtId="0">
      <sharedItems containsSemiMixedTypes="0" containsString="0"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araj Begum" refreshedDate="46239.984111921294" createdVersion="8" refreshedVersion="8" minRefreshableVersion="3" recordCount="39" xr:uid="{F32E4339-5C9E-40A7-9D1A-766EC7130F25}">
  <cacheSource type="worksheet">
    <worksheetSource ref="A1:B40" sheet="Sheet4"/>
  </cacheSource>
  <cacheFields count="2">
    <cacheField name="movie_id" numFmtId="0">
      <sharedItems containsSemiMixedTypes="0" containsString="0" containsNumber="1" containsInteger="1" minValue="101" maxValue="140" count="39">
        <n v="101"/>
        <n v="102"/>
        <n v="103"/>
        <n v="104"/>
        <n v="105"/>
        <n v="106"/>
        <n v="107"/>
        <n v="108"/>
        <n v="109"/>
        <n v="110"/>
        <n v="111"/>
        <n v="112"/>
        <n v="113"/>
        <n v="115"/>
        <n v="116"/>
        <n v="117"/>
        <n v="118"/>
        <n v="119"/>
        <n v="120"/>
        <n v="121"/>
        <n v="122"/>
        <n v="123"/>
        <n v="124"/>
        <n v="125"/>
        <n v="126"/>
        <n v="127"/>
        <n v="128"/>
        <n v="129"/>
        <n v="130"/>
        <n v="131"/>
        <n v="132"/>
        <n v="133"/>
        <n v="134"/>
        <n v="135"/>
        <n v="136"/>
        <n v="137"/>
        <n v="138"/>
        <n v="139"/>
        <n v="140"/>
      </sharedItems>
    </cacheField>
    <cacheField name="Profit" numFmtId="0">
      <sharedItems containsSemiMixedTypes="0" containsString="0" containsNumber="1" minValue="0" maxValue="261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araj Begum" refreshedDate="46232.926495254629" createdVersion="5" refreshedVersion="8" minRefreshableVersion="3" recordCount="0" supportSubquery="1" supportAdvancedDrill="1" xr:uid="{91DD3E71-3A79-425B-94A6-5F82C38E8029}">
  <cacheSource type="external" connectionId="1"/>
  <cacheFields count="2">
    <cacheField name="[1].[movie_id].[movie_id]" caption="movie_id" numFmtId="0" level="1">
      <sharedItems containsSemiMixedTypes="0" containsString="0" containsNumber="1" containsInteger="1" minValue="101" maxValue="140" count="39">
        <n v="101"/>
        <n v="102"/>
        <n v="103"/>
        <n v="104"/>
        <n v="105"/>
        <n v="106"/>
        <n v="107"/>
        <n v="108"/>
        <n v="109"/>
        <n v="110"/>
        <n v="111"/>
        <n v="112"/>
        <n v="113"/>
        <n v="115"/>
        <n v="116"/>
        <n v="117"/>
        <n v="118"/>
        <n v="119"/>
        <n v="120"/>
        <n v="121"/>
        <n v="122"/>
        <n v="123"/>
        <n v="124"/>
        <n v="125"/>
        <n v="126"/>
        <n v="127"/>
        <n v="128"/>
        <n v="129"/>
        <n v="130"/>
        <n v="131"/>
        <n v="132"/>
        <n v="133"/>
        <n v="134"/>
        <n v="135"/>
        <n v="136"/>
        <n v="137"/>
        <n v="138"/>
        <n v="139"/>
        <n v="140"/>
      </sharedItems>
      <extLst>
        <ext xmlns:x15="http://schemas.microsoft.com/office/spreadsheetml/2010/11/main" uri="{4F2E5C28-24EA-4eb8-9CBF-B6C8F9C3D259}">
          <x15:cachedUniqueNames>
            <x15:cachedUniqueName index="0" name="[1].[movie_id].&amp;[101]"/>
            <x15:cachedUniqueName index="1" name="[1].[movie_id].&amp;[102]"/>
            <x15:cachedUniqueName index="2" name="[1].[movie_id].&amp;[103]"/>
            <x15:cachedUniqueName index="3" name="[1].[movie_id].&amp;[104]"/>
            <x15:cachedUniqueName index="4" name="[1].[movie_id].&amp;[105]"/>
            <x15:cachedUniqueName index="5" name="[1].[movie_id].&amp;[106]"/>
            <x15:cachedUniqueName index="6" name="[1].[movie_id].&amp;[107]"/>
            <x15:cachedUniqueName index="7" name="[1].[movie_id].&amp;[108]"/>
            <x15:cachedUniqueName index="8" name="[1].[movie_id].&amp;[109]"/>
            <x15:cachedUniqueName index="9" name="[1].[movie_id].&amp;[110]"/>
            <x15:cachedUniqueName index="10" name="[1].[movie_id].&amp;[111]"/>
            <x15:cachedUniqueName index="11" name="[1].[movie_id].&amp;[112]"/>
            <x15:cachedUniqueName index="12" name="[1].[movie_id].&amp;[113]"/>
            <x15:cachedUniqueName index="13" name="[1].[movie_id].&amp;[115]"/>
            <x15:cachedUniqueName index="14" name="[1].[movie_id].&amp;[116]"/>
            <x15:cachedUniqueName index="15" name="[1].[movie_id].&amp;[117]"/>
            <x15:cachedUniqueName index="16" name="[1].[movie_id].&amp;[118]"/>
            <x15:cachedUniqueName index="17" name="[1].[movie_id].&amp;[119]"/>
            <x15:cachedUniqueName index="18" name="[1].[movie_id].&amp;[120]"/>
            <x15:cachedUniqueName index="19" name="[1].[movie_id].&amp;[121]"/>
            <x15:cachedUniqueName index="20" name="[1].[movie_id].&amp;[122]"/>
            <x15:cachedUniqueName index="21" name="[1].[movie_id].&amp;[123]"/>
            <x15:cachedUniqueName index="22" name="[1].[movie_id].&amp;[124]"/>
            <x15:cachedUniqueName index="23" name="[1].[movie_id].&amp;[125]"/>
            <x15:cachedUniqueName index="24" name="[1].[movie_id].&amp;[126]"/>
            <x15:cachedUniqueName index="25" name="[1].[movie_id].&amp;[127]"/>
            <x15:cachedUniqueName index="26" name="[1].[movie_id].&amp;[128]"/>
            <x15:cachedUniqueName index="27" name="[1].[movie_id].&amp;[129]"/>
            <x15:cachedUniqueName index="28" name="[1].[movie_id].&amp;[130]"/>
            <x15:cachedUniqueName index="29" name="[1].[movie_id].&amp;[131]"/>
            <x15:cachedUniqueName index="30" name="[1].[movie_id].&amp;[132]"/>
            <x15:cachedUniqueName index="31" name="[1].[movie_id].&amp;[133]"/>
            <x15:cachedUniqueName index="32" name="[1].[movie_id].&amp;[134]"/>
            <x15:cachedUniqueName index="33" name="[1].[movie_id].&amp;[135]"/>
            <x15:cachedUniqueName index="34" name="[1].[movie_id].&amp;[136]"/>
            <x15:cachedUniqueName index="35" name="[1].[movie_id].&amp;[137]"/>
            <x15:cachedUniqueName index="36" name="[1].[movie_id].&amp;[138]"/>
            <x15:cachedUniqueName index="37" name="[1].[movie_id].&amp;[139]"/>
            <x15:cachedUniqueName index="38" name="[1].[movie_id].&amp;[140]"/>
          </x15:cachedUniqueNames>
        </ext>
      </extLst>
    </cacheField>
    <cacheField name="[Measures].[Count of movie_id]" caption="Count of movie_id" numFmtId="0" hierarchy="28" level="32767"/>
  </cacheFields>
  <cacheHierarchies count="36">
    <cacheHierarchy uniqueName="[1].[movie_id]" caption="movie_id" attribute="1" defaultMemberUniqueName="[1].[movie_id].[All]" allUniqueName="[1].[movie_id].[All]" dimensionUniqueName="[1]" displayFolder="" count="2" memberValueDatatype="20" unbalanced="0">
      <fieldsUsage count="2">
        <fieldUsage x="-1"/>
        <fieldUsage x="0"/>
      </fieldsUsage>
    </cacheHierarchy>
    <cacheHierarchy uniqueName="[1].[Title]" caption="Title" attribute="1" defaultMemberUniqueName="[1].[Title].[All]" allUniqueName="[1].[Title].[All]" dimensionUniqueName="[1]" displayFolder="" count="0" memberValueDatatype="130" unbalanced="0"/>
    <cacheHierarchy uniqueName="[1].[industry]" caption="industry" attribute="1" defaultMemberUniqueName="[1].[industry].[All]" allUniqueName="[1].[industry].[All]" dimensionUniqueName="[1]" displayFolder="" count="0" memberValueDatatype="130" unbalanced="0"/>
    <cacheHierarchy uniqueName="[1].[release_year]" caption="release_year" attribute="1" defaultMemberUniqueName="[1].[release_year].[All]" allUniqueName="[1].[release_year].[All]" dimensionUniqueName="[1]" displayFolder="" count="0" memberValueDatatype="20" unbalanced="0"/>
    <cacheHierarchy uniqueName="[1].[imdb_rating]" caption="imdb_rating" attribute="1" defaultMemberUniqueName="[1].[imdb_rating].[All]" allUniqueName="[1].[imdb_rating].[All]" dimensionUniqueName="[1]" displayFolder="" count="0" memberValueDatatype="5" unbalanced="0"/>
    <cacheHierarchy uniqueName="[1].[studio]" caption="studio" attribute="1" defaultMemberUniqueName="[1].[studio].[All]" allUniqueName="[1].[studio].[All]" dimensionUniqueName="[1]" displayFolder="" count="0" memberValueDatatype="130" unbalanced="0"/>
    <cacheHierarchy uniqueName="[1].[language_id]" caption="language_id" attribute="1" defaultMemberUniqueName="[1].[language_id].[All]" allUniqueName="[1].[language_id].[All]" dimensionUniqueName="[1]" displayFolder="" count="0" memberValueDatatype="20" unbalanced="0"/>
    <cacheHierarchy uniqueName="[3].[actor_id]" caption="actor_id" attribute="1" defaultMemberUniqueName="[3].[actor_id].[All]" allUniqueName="[3].[actor_id].[All]" dimensionUniqueName="[3]" displayFolder="" count="0" memberValueDatatype="20" unbalanced="0"/>
    <cacheHierarchy uniqueName="[3].[name]" caption="name" attribute="1" defaultMemberUniqueName="[3].[name].[All]" allUniqueName="[3].[name].[All]" dimensionUniqueName="[3]" displayFolder="" count="0" memberValueDatatype="130" unbalanced="0"/>
    <cacheHierarchy uniqueName="[3].[birth_year]" caption="birth_year" attribute="1" defaultMemberUniqueName="[3].[birth_year].[All]" allUniqueName="[3].[birth_year].[All]" dimensionUniqueName="[3]" displayFolder="" count="0" memberValueDatatype="20" unbalanced="0"/>
    <cacheHierarchy uniqueName="[4].[movie_id]" caption="movie_id" attribute="1" defaultMemberUniqueName="[4].[movie_id].[All]" allUniqueName="[4].[movie_id].[All]" dimensionUniqueName="[4]" displayFolder="" count="0" memberValueDatatype="20" unbalanced="0"/>
    <cacheHierarchy uniqueName="[4].[actor_id]" caption="actor_id" attribute="1" defaultMemberUniqueName="[4].[actor_id].[All]" allUniqueName="[4].[actor_id].[All]" dimensionUniqueName="[4]" displayFolder="" count="0" memberValueDatatype="20" unbalanced="0"/>
    <cacheHierarchy uniqueName="[5].[language_id]" caption="language_id" attribute="1" defaultMemberUniqueName="[5].[language_id].[All]" allUniqueName="[5].[language_id].[All]" dimensionUniqueName="[5]" displayFolder="" count="0" memberValueDatatype="20" unbalanced="0"/>
    <cacheHierarchy uniqueName="[5].[name]" caption="name" attribute="1" defaultMemberUniqueName="[5].[name].[All]" allUniqueName="[5].[name].[All]" dimensionUniqueName="[5]" displayFolder="" count="0" memberValueDatatype="130" unbalanced="0"/>
    <cacheHierarchy uniqueName="[t2].[movie_id]" caption="movie_id" attribute="1" defaultMemberUniqueName="[t2].[movie_id].[All]" allUniqueName="[t2].[movie_id].[All]" dimensionUniqueName="[t2]" displayFolder="" count="0" memberValueDatatype="20" unbalanced="0"/>
    <cacheHierarchy uniqueName="[t2].[budget]" caption="budget" attribute="1" defaultMemberUniqueName="[t2].[budget].[All]" allUniqueName="[t2].[budget].[All]" dimensionUniqueName="[t2]" displayFolder="" count="0" memberValueDatatype="5" unbalanced="0"/>
    <cacheHierarchy uniqueName="[t2].[revenue]" caption="revenue" attribute="1" defaultMemberUniqueName="[t2].[revenue].[All]" allUniqueName="[t2].[revenue].[All]" dimensionUniqueName="[t2]" displayFolder="" count="0" memberValueDatatype="5" unbalanced="0"/>
    <cacheHierarchy uniqueName="[t2].[currency]" caption="currency" attribute="1" defaultMemberUniqueName="[t2].[currency].[All]" allUniqueName="[t2].[currency].[All]" dimensionUniqueName="[t2]" displayFolder="" count="0" memberValueDatatype="130" unbalanced="0"/>
    <cacheHierarchy uniqueName="[t2].[budget2]" caption="budget2" attribute="1" defaultMemberUniqueName="[t2].[budget2].[All]" allUniqueName="[t2].[budget2].[All]" dimensionUniqueName="[t2]" displayFolder="" count="0" memberValueDatatype="5" unbalanced="0"/>
    <cacheHierarchy uniqueName="[t2].[currency3]" caption="currency3" attribute="1" defaultMemberUniqueName="[t2].[currency3].[All]" allUniqueName="[t2].[currency3].[All]" dimensionUniqueName="[t2]" displayFolder="" count="0" memberValueDatatype="5" unbalanced="0"/>
    <cacheHierarchy uniqueName="[t2].[profit]" caption="profit" attribute="1" defaultMemberUniqueName="[t2].[profit].[All]" allUniqueName="[t2].[profit].[All]" dimensionUniqueName="[t2]" displayFolder="" count="0" memberValueDatatype="5" unbalanced="0"/>
    <cacheHierarchy uniqueName="[Measures].[__XL_Count Table3]" caption="__XL_Count Table3" measure="1" displayFolder="" measureGroup="4" count="0" hidden="1"/>
    <cacheHierarchy uniqueName="[Measures].[__XL_Count Table4]" caption="__XL_Count Table4" measure="1" displayFolder="" measureGroup="3" count="0" hidden="1"/>
    <cacheHierarchy uniqueName="[Measures].[__XL_Count Table5]" caption="__XL_Count Table5" measure="1" displayFolder="" measureGroup="t2" count="0" hidden="1"/>
    <cacheHierarchy uniqueName="[Measures].[__XL_Count Table6]" caption="__XL_Count Table6" measure="1" displayFolder="" measureGroup="5" count="0" hidden="1"/>
    <cacheHierarchy uniqueName="[Measures].[__XL_Count Table2]" caption="__XL_Count Table2" measure="1" displayFolder="" measureGroup="1" count="0" hidden="1"/>
    <cacheHierarchy uniqueName="[Measures].[__No measures defined]" caption="__No measures defined" measure="1" displayFolder="" count="0" hidden="1"/>
    <cacheHierarchy uniqueName="[Measures].[Sum of movie_id]" caption="Sum of movie_id" measure="1" displayFolder="" measureGroup="1" count="0" hidden="1">
      <extLst>
        <ext xmlns:x15="http://schemas.microsoft.com/office/spreadsheetml/2010/11/main" uri="{B97F6D7D-B522-45F9-BDA1-12C45D357490}">
          <x15:cacheHierarchy aggregatedColumn="0"/>
        </ext>
      </extLst>
    </cacheHierarchy>
    <cacheHierarchy uniqueName="[Measures].[Count of movie_id]" caption="Count of movie_id" measure="1" displayFolder="" measureGroup="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industry]" caption="Count of industry" measure="1" displayFolder="" measureGroup="1" count="0" hidden="1">
      <extLst>
        <ext xmlns:x15="http://schemas.microsoft.com/office/spreadsheetml/2010/11/main" uri="{B97F6D7D-B522-45F9-BDA1-12C45D357490}">
          <x15:cacheHierarchy aggregatedColumn="2"/>
        </ext>
      </extLst>
    </cacheHierarchy>
    <cacheHierarchy uniqueName="[Measures].[Distinct Count of industry]" caption="Distinct Count of industry" measure="1" displayFolder="" measureGroup="1" count="0" hidden="1">
      <extLst>
        <ext xmlns:x15="http://schemas.microsoft.com/office/spreadsheetml/2010/11/main" uri="{B97F6D7D-B522-45F9-BDA1-12C45D357490}">
          <x15:cacheHierarchy aggregatedColumn="2"/>
        </ext>
      </extLst>
    </cacheHierarchy>
    <cacheHierarchy uniqueName="[Measures].[Count of studio]" caption="Count of studio" measure="1" displayFolder="" measureGroup="1" count="0" hidden="1">
      <extLst>
        <ext xmlns:x15="http://schemas.microsoft.com/office/spreadsheetml/2010/11/main" uri="{B97F6D7D-B522-45F9-BDA1-12C45D357490}">
          <x15:cacheHierarchy aggregatedColumn="5"/>
        </ext>
      </extLst>
    </cacheHierarchy>
    <cacheHierarchy uniqueName="[Measures].[Distinct Count of studio]" caption="Distinct Count of studio" measure="1" displayFolder="" measureGroup="1"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5" count="0" hidden="1">
      <extLst>
        <ext xmlns:x15="http://schemas.microsoft.com/office/spreadsheetml/2010/11/main" uri="{B97F6D7D-B522-45F9-BDA1-12C45D357490}">
          <x15:cacheHierarchy aggregatedColumn="13"/>
        </ext>
      </extLst>
    </cacheHierarchy>
    <cacheHierarchy uniqueName="[Measures].[Distinct Count of name]" caption="Distinct Count of name" measure="1" displayFolder="" measureGroup="5" count="0" hidden="1">
      <extLst>
        <ext xmlns:x15="http://schemas.microsoft.com/office/spreadsheetml/2010/11/main" uri="{B97F6D7D-B522-45F9-BDA1-12C45D357490}">
          <x15:cacheHierarchy aggregatedColumn="13"/>
        </ext>
      </extLst>
    </cacheHierarchy>
    <cacheHierarchy uniqueName="[Measures].[Sum of language_id]" caption="Sum of language_id" measure="1" displayFolder="" measureGroup="5" count="0" hidden="1">
      <extLst>
        <ext xmlns:x15="http://schemas.microsoft.com/office/spreadsheetml/2010/11/main" uri="{B97F6D7D-B522-45F9-BDA1-12C45D357490}">
          <x15:cacheHierarchy aggregatedColumn="12"/>
        </ext>
      </extLst>
    </cacheHierarchy>
  </cacheHierarchies>
  <kpis count="0"/>
  <dimensions count="6">
    <dimension name="1" uniqueName="[1]" caption="1"/>
    <dimension name="3" uniqueName="[3]" caption="3"/>
    <dimension name="4" uniqueName="[4]" caption="4"/>
    <dimension name="5" uniqueName="[5]" caption="5"/>
    <dimension measure="1" name="Measures" uniqueName="[Measures]" caption="Measures"/>
    <dimension name="t2" uniqueName="[t2]" caption="t2"/>
  </dimensions>
  <measureGroups count="5">
    <measureGroup name="1" caption="1"/>
    <measureGroup name="3" caption="3"/>
    <measureGroup name="4" caption="4"/>
    <measureGroup name="5" caption="5"/>
    <measureGroup name="t2" caption="t2"/>
  </measureGroups>
  <maps count="11">
    <map measureGroup="0" dimension="0"/>
    <map measureGroup="0" dimension="3"/>
    <map measureGroup="1" dimension="1"/>
    <map measureGroup="1" dimension="3"/>
    <map measureGroup="2" dimension="0"/>
    <map measureGroup="2" dimension="2"/>
    <map measureGroup="2" dimension="3"/>
    <map measureGroup="3" dimension="3"/>
    <map measureGroup="4" dimension="0"/>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araj Begum" refreshedDate="46239.829083564815" backgroundQuery="1" createdVersion="8" refreshedVersion="8" minRefreshableVersion="3" recordCount="0" supportSubquery="1" supportAdvancedDrill="1" xr:uid="{07E12304-56CD-4DA2-AAFB-C715C80F0A9F}">
  <cacheSource type="external" connectionId="1"/>
  <cacheFields count="2">
    <cacheField name="[1].[industry].[industry]" caption="industry" numFmtId="0" hierarchy="2" level="1">
      <sharedItems count="2">
        <s v="Bollywood"/>
        <s v="Hollywood"/>
      </sharedItems>
    </cacheField>
    <cacheField name="[Measures].[Distinct Count of industry]" caption="Distinct Count of industry" numFmtId="0" hierarchy="30" level="32767"/>
  </cacheFields>
  <cacheHierarchies count="36">
    <cacheHierarchy uniqueName="[1].[movie_id]" caption="movie_id" attribute="1" defaultMemberUniqueName="[1].[movie_id].[All]" allUniqueName="[1].[movie_id].[All]" dimensionUniqueName="[1]" displayFolder="" count="0" memberValueDatatype="20" unbalanced="0"/>
    <cacheHierarchy uniqueName="[1].[Title]" caption="Title" attribute="1" defaultMemberUniqueName="[1].[Title].[All]" allUniqueName="[1].[Title].[All]" dimensionUniqueName="[1]" displayFolder="" count="0" memberValueDatatype="130" unbalanced="0"/>
    <cacheHierarchy uniqueName="[1].[industry]" caption="industry" attribute="1" defaultMemberUniqueName="[1].[industry].[All]" allUniqueName="[1].[industry].[All]" dimensionUniqueName="[1]" displayFolder="" count="2" memberValueDatatype="130" unbalanced="0">
      <fieldsUsage count="2">
        <fieldUsage x="-1"/>
        <fieldUsage x="0"/>
      </fieldsUsage>
    </cacheHierarchy>
    <cacheHierarchy uniqueName="[1].[release_year]" caption="release_year" attribute="1" defaultMemberUniqueName="[1].[release_year].[All]" allUniqueName="[1].[release_year].[All]" dimensionUniqueName="[1]" displayFolder="" count="0" memberValueDatatype="20" unbalanced="0"/>
    <cacheHierarchy uniqueName="[1].[imdb_rating]" caption="imdb_rating" attribute="1" defaultMemberUniqueName="[1].[imdb_rating].[All]" allUniqueName="[1].[imdb_rating].[All]" dimensionUniqueName="[1]" displayFolder="" count="0" memberValueDatatype="5" unbalanced="0"/>
    <cacheHierarchy uniqueName="[1].[studio]" caption="studio" attribute="1" defaultMemberUniqueName="[1].[studio].[All]" allUniqueName="[1].[studio].[All]" dimensionUniqueName="[1]" displayFolder="" count="0" memberValueDatatype="130" unbalanced="0"/>
    <cacheHierarchy uniqueName="[1].[language_id]" caption="language_id" attribute="1" defaultMemberUniqueName="[1].[language_id].[All]" allUniqueName="[1].[language_id].[All]" dimensionUniqueName="[1]" displayFolder="" count="0" memberValueDatatype="20" unbalanced="0"/>
    <cacheHierarchy uniqueName="[3].[actor_id]" caption="actor_id" attribute="1" defaultMemberUniqueName="[3].[actor_id].[All]" allUniqueName="[3].[actor_id].[All]" dimensionUniqueName="[3]" displayFolder="" count="0" memberValueDatatype="20" unbalanced="0"/>
    <cacheHierarchy uniqueName="[3].[name]" caption="name" attribute="1" defaultMemberUniqueName="[3].[name].[All]" allUniqueName="[3].[name].[All]" dimensionUniqueName="[3]" displayFolder="" count="0" memberValueDatatype="130" unbalanced="0"/>
    <cacheHierarchy uniqueName="[3].[birth_year]" caption="birth_year" attribute="1" defaultMemberUniqueName="[3].[birth_year].[All]" allUniqueName="[3].[birth_year].[All]" dimensionUniqueName="[3]" displayFolder="" count="0" memberValueDatatype="20" unbalanced="0"/>
    <cacheHierarchy uniqueName="[4].[movie_id]" caption="movie_id" attribute="1" defaultMemberUniqueName="[4].[movie_id].[All]" allUniqueName="[4].[movie_id].[All]" dimensionUniqueName="[4]" displayFolder="" count="0" memberValueDatatype="20" unbalanced="0"/>
    <cacheHierarchy uniqueName="[4].[actor_id]" caption="actor_id" attribute="1" defaultMemberUniqueName="[4].[actor_id].[All]" allUniqueName="[4].[actor_id].[All]" dimensionUniqueName="[4]" displayFolder="" count="0" memberValueDatatype="20" unbalanced="0"/>
    <cacheHierarchy uniqueName="[5].[language_id]" caption="language_id" attribute="1" defaultMemberUniqueName="[5].[language_id].[All]" allUniqueName="[5].[language_id].[All]" dimensionUniqueName="[5]" displayFolder="" count="0" memberValueDatatype="20" unbalanced="0"/>
    <cacheHierarchy uniqueName="[5].[name]" caption="name" attribute="1" defaultMemberUniqueName="[5].[name].[All]" allUniqueName="[5].[name].[All]" dimensionUniqueName="[5]" displayFolder="" count="0" memberValueDatatype="130" unbalanced="0"/>
    <cacheHierarchy uniqueName="[t2].[movie_id]" caption="movie_id" attribute="1" defaultMemberUniqueName="[t2].[movie_id].[All]" allUniqueName="[t2].[movie_id].[All]" dimensionUniqueName="[t2]" displayFolder="" count="0" memberValueDatatype="20" unbalanced="0"/>
    <cacheHierarchy uniqueName="[t2].[budget]" caption="budget" attribute="1" defaultMemberUniqueName="[t2].[budget].[All]" allUniqueName="[t2].[budget].[All]" dimensionUniqueName="[t2]" displayFolder="" count="0" memberValueDatatype="5" unbalanced="0"/>
    <cacheHierarchy uniqueName="[t2].[revenue]" caption="revenue" attribute="1" defaultMemberUniqueName="[t2].[revenue].[All]" allUniqueName="[t2].[revenue].[All]" dimensionUniqueName="[t2]" displayFolder="" count="0" memberValueDatatype="5" unbalanced="0"/>
    <cacheHierarchy uniqueName="[t2].[currency]" caption="currency" attribute="1" defaultMemberUniqueName="[t2].[currency].[All]" allUniqueName="[t2].[currency].[All]" dimensionUniqueName="[t2]" displayFolder="" count="0" memberValueDatatype="130" unbalanced="0"/>
    <cacheHierarchy uniqueName="[t2].[budget2]" caption="budget2" attribute="1" defaultMemberUniqueName="[t2].[budget2].[All]" allUniqueName="[t2].[budget2].[All]" dimensionUniqueName="[t2]" displayFolder="" count="0" memberValueDatatype="5" unbalanced="0"/>
    <cacheHierarchy uniqueName="[t2].[currency3]" caption="currency3" attribute="1" defaultMemberUniqueName="[t2].[currency3].[All]" allUniqueName="[t2].[currency3].[All]" dimensionUniqueName="[t2]" displayFolder="" count="0" memberValueDatatype="5" unbalanced="0"/>
    <cacheHierarchy uniqueName="[t2].[profit]" caption="profit" attribute="1" defaultMemberUniqueName="[t2].[profit].[All]" allUniqueName="[t2].[profit].[All]" dimensionUniqueName="[t2]" displayFolder="" count="0" memberValueDatatype="5" unbalanced="0"/>
    <cacheHierarchy uniqueName="[Measures].[__XL_Count Table3]" caption="__XL_Count Table3" measure="1" displayFolder="" measureGroup="4" count="0" hidden="1"/>
    <cacheHierarchy uniqueName="[Measures].[__XL_Count Table4]" caption="__XL_Count Table4" measure="1" displayFolder="" measureGroup="3" count="0" hidden="1"/>
    <cacheHierarchy uniqueName="[Measures].[__XL_Count Table5]" caption="__XL_Count Table5" measure="1" displayFolder="" measureGroup="t2" count="0" hidden="1"/>
    <cacheHierarchy uniqueName="[Measures].[__XL_Count Table6]" caption="__XL_Count Table6" measure="1" displayFolder="" measureGroup="5" count="0" hidden="1"/>
    <cacheHierarchy uniqueName="[Measures].[__XL_Count Table2]" caption="__XL_Count Table2" measure="1" displayFolder="" measureGroup="1" count="0" hidden="1"/>
    <cacheHierarchy uniqueName="[Measures].[__No measures defined]" caption="__No measures defined" measure="1" displayFolder="" count="0" hidden="1"/>
    <cacheHierarchy uniqueName="[Measures].[Sum of movie_id]" caption="Sum of movie_id" measure="1" displayFolder="" measureGroup="1" count="0" hidden="1">
      <extLst>
        <ext xmlns:x15="http://schemas.microsoft.com/office/spreadsheetml/2010/11/main" uri="{B97F6D7D-B522-45F9-BDA1-12C45D357490}">
          <x15:cacheHierarchy aggregatedColumn="0"/>
        </ext>
      </extLst>
    </cacheHierarchy>
    <cacheHierarchy uniqueName="[Measures].[Count of movie_id]" caption="Count of movie_id" measure="1" displayFolder="" measureGroup="1" count="0" hidden="1">
      <extLst>
        <ext xmlns:x15="http://schemas.microsoft.com/office/spreadsheetml/2010/11/main" uri="{B97F6D7D-B522-45F9-BDA1-12C45D357490}">
          <x15:cacheHierarchy aggregatedColumn="0"/>
        </ext>
      </extLst>
    </cacheHierarchy>
    <cacheHierarchy uniqueName="[Measures].[Count of industry]" caption="Count of industry" measure="1" displayFolder="" measureGroup="1" count="0" hidden="1">
      <extLst>
        <ext xmlns:x15="http://schemas.microsoft.com/office/spreadsheetml/2010/11/main" uri="{B97F6D7D-B522-45F9-BDA1-12C45D357490}">
          <x15:cacheHierarchy aggregatedColumn="2"/>
        </ext>
      </extLst>
    </cacheHierarchy>
    <cacheHierarchy uniqueName="[Measures].[Distinct Count of industry]" caption="Distinct Count of industry" measure="1" displayFolder="" measureGroup="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tudio]" caption="Count of studio" measure="1" displayFolder="" measureGroup="1" count="0" hidden="1">
      <extLst>
        <ext xmlns:x15="http://schemas.microsoft.com/office/spreadsheetml/2010/11/main" uri="{B97F6D7D-B522-45F9-BDA1-12C45D357490}">
          <x15:cacheHierarchy aggregatedColumn="5"/>
        </ext>
      </extLst>
    </cacheHierarchy>
    <cacheHierarchy uniqueName="[Measures].[Distinct Count of studio]" caption="Distinct Count of studio" measure="1" displayFolder="" measureGroup="1"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5" count="0" hidden="1">
      <extLst>
        <ext xmlns:x15="http://schemas.microsoft.com/office/spreadsheetml/2010/11/main" uri="{B97F6D7D-B522-45F9-BDA1-12C45D357490}">
          <x15:cacheHierarchy aggregatedColumn="13"/>
        </ext>
      </extLst>
    </cacheHierarchy>
    <cacheHierarchy uniqueName="[Measures].[Distinct Count of name]" caption="Distinct Count of name" measure="1" displayFolder="" measureGroup="5" count="0" hidden="1">
      <extLst>
        <ext xmlns:x15="http://schemas.microsoft.com/office/spreadsheetml/2010/11/main" uri="{B97F6D7D-B522-45F9-BDA1-12C45D357490}">
          <x15:cacheHierarchy aggregatedColumn="13"/>
        </ext>
      </extLst>
    </cacheHierarchy>
    <cacheHierarchy uniqueName="[Measures].[Sum of language_id]" caption="Sum of language_id" measure="1" displayFolder="" measureGroup="5" count="0" hidden="1">
      <extLst>
        <ext xmlns:x15="http://schemas.microsoft.com/office/spreadsheetml/2010/11/main" uri="{B97F6D7D-B522-45F9-BDA1-12C45D357490}">
          <x15:cacheHierarchy aggregatedColumn="12"/>
        </ext>
      </extLst>
    </cacheHierarchy>
  </cacheHierarchies>
  <kpis count="0"/>
  <dimensions count="6">
    <dimension name="1" uniqueName="[1]" caption="1"/>
    <dimension name="3" uniqueName="[3]" caption="3"/>
    <dimension name="4" uniqueName="[4]" caption="4"/>
    <dimension name="5" uniqueName="[5]" caption="5"/>
    <dimension measure="1" name="Measures" uniqueName="[Measures]" caption="Measures"/>
    <dimension name="t2" uniqueName="[t2]" caption="t2"/>
  </dimensions>
  <measureGroups count="5">
    <measureGroup name="1" caption="1"/>
    <measureGroup name="3" caption="3"/>
    <measureGroup name="4" caption="4"/>
    <measureGroup name="5" caption="5"/>
    <measureGroup name="t2" caption="t2"/>
  </measureGroups>
  <maps count="11">
    <map measureGroup="0" dimension="0"/>
    <map measureGroup="0" dimension="3"/>
    <map measureGroup="1" dimension="1"/>
    <map measureGroup="1" dimension="3"/>
    <map measureGroup="2" dimension="0"/>
    <map measureGroup="2" dimension="2"/>
    <map measureGroup="2" dimension="3"/>
    <map measureGroup="3" dimension="3"/>
    <map measureGroup="4" dimension="0"/>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araj Begum" refreshedDate="46238.447934722222" backgroundQuery="1" createdVersion="8" refreshedVersion="8" minRefreshableVersion="3" recordCount="0" supportSubquery="1" supportAdvancedDrill="1" xr:uid="{C57D9E5D-63F7-4D35-B44D-5067431264F8}">
  <cacheSource type="external" connectionId="1"/>
  <cacheFields count="2">
    <cacheField name="[1].[studio].[studio]" caption="studio" numFmtId="0" hierarchy="5" level="1">
      <sharedItems containsBlank="1" count="23">
        <s v=" Government of West Bengal"/>
        <s v=" Marvel Studios"/>
        <s v=" Paramount Pictures"/>
        <s v="20th Century Fox"/>
        <s v="Arka Media Works"/>
        <s v="Castle Rock Entertainment"/>
        <s v="Columbia Pictures"/>
        <s v="Dharma Productions"/>
        <s v="DVV Entertainment"/>
        <s v="Homabalefilms"/>
        <s v="Liberty Films"/>
        <s v="Mythri Movie Makers"/>
        <s v="Others"/>
        <s v="Salman Khan Films"/>
        <s v="Syncopy"/>
        <s v="United Producers"/>
        <s v="Universal Pictures"/>
        <s v="Vinod Chopra Films"/>
        <s v="Vinod Chopra Productions"/>
        <s v="Warner Bros. Pictures"/>
        <s v="Yash Raj Films"/>
        <s v="Zee Studios"/>
        <m u="1"/>
      </sharedItems>
    </cacheField>
    <cacheField name="[Measures].[Distinct Count of studio]" caption="Distinct Count of studio" numFmtId="0" hierarchy="32" level="32767"/>
  </cacheFields>
  <cacheHierarchies count="36">
    <cacheHierarchy uniqueName="[1].[movie_id]" caption="movie_id" attribute="1" defaultMemberUniqueName="[1].[movie_id].[All]" allUniqueName="[1].[movie_id].[All]" dimensionUniqueName="[1]" displayFolder="" count="0" memberValueDatatype="20" unbalanced="0"/>
    <cacheHierarchy uniqueName="[1].[Title]" caption="Title" attribute="1" defaultMemberUniqueName="[1].[Title].[All]" allUniqueName="[1].[Title].[All]" dimensionUniqueName="[1]" displayFolder="" count="0" memberValueDatatype="130" unbalanced="0"/>
    <cacheHierarchy uniqueName="[1].[industry]" caption="industry" attribute="1" defaultMemberUniqueName="[1].[industry].[All]" allUniqueName="[1].[industry].[All]" dimensionUniqueName="[1]" displayFolder="" count="0" memberValueDatatype="130" unbalanced="0"/>
    <cacheHierarchy uniqueName="[1].[release_year]" caption="release_year" attribute="1" defaultMemberUniqueName="[1].[release_year].[All]" allUniqueName="[1].[release_year].[All]" dimensionUniqueName="[1]" displayFolder="" count="0" memberValueDatatype="20" unbalanced="0"/>
    <cacheHierarchy uniqueName="[1].[imdb_rating]" caption="imdb_rating" attribute="1" defaultMemberUniqueName="[1].[imdb_rating].[All]" allUniqueName="[1].[imdb_rating].[All]" dimensionUniqueName="[1]" displayFolder="" count="0" memberValueDatatype="5" unbalanced="0"/>
    <cacheHierarchy uniqueName="[1].[studio]" caption="studio" attribute="1" defaultMemberUniqueName="[1].[studio].[All]" allUniqueName="[1].[studio].[All]" dimensionUniqueName="[1]" displayFolder="" count="2" memberValueDatatype="130" unbalanced="0">
      <fieldsUsage count="2">
        <fieldUsage x="-1"/>
        <fieldUsage x="0"/>
      </fieldsUsage>
    </cacheHierarchy>
    <cacheHierarchy uniqueName="[1].[language_id]" caption="language_id" attribute="1" defaultMemberUniqueName="[1].[language_id].[All]" allUniqueName="[1].[language_id].[All]" dimensionUniqueName="[1]" displayFolder="" count="0" memberValueDatatype="20" unbalanced="0"/>
    <cacheHierarchy uniqueName="[3].[actor_id]" caption="actor_id" attribute="1" defaultMemberUniqueName="[3].[actor_id].[All]" allUniqueName="[3].[actor_id].[All]" dimensionUniqueName="[3]" displayFolder="" count="0" memberValueDatatype="20" unbalanced="0"/>
    <cacheHierarchy uniqueName="[3].[name]" caption="name" attribute="1" defaultMemberUniqueName="[3].[name].[All]" allUniqueName="[3].[name].[All]" dimensionUniqueName="[3]" displayFolder="" count="0" memberValueDatatype="130" unbalanced="0"/>
    <cacheHierarchy uniqueName="[3].[birth_year]" caption="birth_year" attribute="1" defaultMemberUniqueName="[3].[birth_year].[All]" allUniqueName="[3].[birth_year].[All]" dimensionUniqueName="[3]" displayFolder="" count="0" memberValueDatatype="20" unbalanced="0"/>
    <cacheHierarchy uniqueName="[4].[movie_id]" caption="movie_id" attribute="1" defaultMemberUniqueName="[4].[movie_id].[All]" allUniqueName="[4].[movie_id].[All]" dimensionUniqueName="[4]" displayFolder="" count="0" memberValueDatatype="20" unbalanced="0"/>
    <cacheHierarchy uniqueName="[4].[actor_id]" caption="actor_id" attribute="1" defaultMemberUniqueName="[4].[actor_id].[All]" allUniqueName="[4].[actor_id].[All]" dimensionUniqueName="[4]" displayFolder="" count="0" memberValueDatatype="20" unbalanced="0"/>
    <cacheHierarchy uniqueName="[5].[language_id]" caption="language_id" attribute="1" defaultMemberUniqueName="[5].[language_id].[All]" allUniqueName="[5].[language_id].[All]" dimensionUniqueName="[5]" displayFolder="" count="0" memberValueDatatype="20" unbalanced="0"/>
    <cacheHierarchy uniqueName="[5].[name]" caption="name" attribute="1" defaultMemberUniqueName="[5].[name].[All]" allUniqueName="[5].[name].[All]" dimensionUniqueName="[5]" displayFolder="" count="0" memberValueDatatype="130" unbalanced="0"/>
    <cacheHierarchy uniqueName="[t2].[movie_id]" caption="movie_id" attribute="1" defaultMemberUniqueName="[t2].[movie_id].[All]" allUniqueName="[t2].[movie_id].[All]" dimensionUniqueName="[t2]" displayFolder="" count="0" memberValueDatatype="20" unbalanced="0"/>
    <cacheHierarchy uniqueName="[t2].[budget]" caption="budget" attribute="1" defaultMemberUniqueName="[t2].[budget].[All]" allUniqueName="[t2].[budget].[All]" dimensionUniqueName="[t2]" displayFolder="" count="0" memberValueDatatype="5" unbalanced="0"/>
    <cacheHierarchy uniqueName="[t2].[revenue]" caption="revenue" attribute="1" defaultMemberUniqueName="[t2].[revenue].[All]" allUniqueName="[t2].[revenue].[All]" dimensionUniqueName="[t2]" displayFolder="" count="0" memberValueDatatype="5" unbalanced="0"/>
    <cacheHierarchy uniqueName="[t2].[currency]" caption="currency" attribute="1" defaultMemberUniqueName="[t2].[currency].[All]" allUniqueName="[t2].[currency].[All]" dimensionUniqueName="[t2]" displayFolder="" count="0" memberValueDatatype="130" unbalanced="0"/>
    <cacheHierarchy uniqueName="[t2].[budget2]" caption="budget2" attribute="1" defaultMemberUniqueName="[t2].[budget2].[All]" allUniqueName="[t2].[budget2].[All]" dimensionUniqueName="[t2]" displayFolder="" count="0" memberValueDatatype="5" unbalanced="0"/>
    <cacheHierarchy uniqueName="[t2].[currency3]" caption="currency3" attribute="1" defaultMemberUniqueName="[t2].[currency3].[All]" allUniqueName="[t2].[currency3].[All]" dimensionUniqueName="[t2]" displayFolder="" count="0" memberValueDatatype="5" unbalanced="0"/>
    <cacheHierarchy uniqueName="[t2].[profit]" caption="profit" attribute="1" defaultMemberUniqueName="[t2].[profit].[All]" allUniqueName="[t2].[profit].[All]" dimensionUniqueName="[t2]" displayFolder="" count="0" memberValueDatatype="5" unbalanced="0"/>
    <cacheHierarchy uniqueName="[Measures].[__XL_Count Table3]" caption="__XL_Count Table3" measure="1" displayFolder="" measureGroup="4" count="0" hidden="1"/>
    <cacheHierarchy uniqueName="[Measures].[__XL_Count Table4]" caption="__XL_Count Table4" measure="1" displayFolder="" measureGroup="3" count="0" hidden="1"/>
    <cacheHierarchy uniqueName="[Measures].[__XL_Count Table5]" caption="__XL_Count Table5" measure="1" displayFolder="" measureGroup="t2" count="0" hidden="1"/>
    <cacheHierarchy uniqueName="[Measures].[__XL_Count Table6]" caption="__XL_Count Table6" measure="1" displayFolder="" measureGroup="5" count="0" hidden="1"/>
    <cacheHierarchy uniqueName="[Measures].[__XL_Count Table2]" caption="__XL_Count Table2" measure="1" displayFolder="" measureGroup="1" count="0" hidden="1"/>
    <cacheHierarchy uniqueName="[Measures].[__No measures defined]" caption="__No measures defined" measure="1" displayFolder="" count="0" hidden="1"/>
    <cacheHierarchy uniqueName="[Measures].[Sum of movie_id]" caption="Sum of movie_id" measure="1" displayFolder="" measureGroup="1" count="0" hidden="1">
      <extLst>
        <ext xmlns:x15="http://schemas.microsoft.com/office/spreadsheetml/2010/11/main" uri="{B97F6D7D-B522-45F9-BDA1-12C45D357490}">
          <x15:cacheHierarchy aggregatedColumn="0"/>
        </ext>
      </extLst>
    </cacheHierarchy>
    <cacheHierarchy uniqueName="[Measures].[Count of movie_id]" caption="Count of movie_id" measure="1" displayFolder="" measureGroup="1" count="0" hidden="1">
      <extLst>
        <ext xmlns:x15="http://schemas.microsoft.com/office/spreadsheetml/2010/11/main" uri="{B97F6D7D-B522-45F9-BDA1-12C45D357490}">
          <x15:cacheHierarchy aggregatedColumn="0"/>
        </ext>
      </extLst>
    </cacheHierarchy>
    <cacheHierarchy uniqueName="[Measures].[Count of industry]" caption="Count of industry" measure="1" displayFolder="" measureGroup="1" count="0" hidden="1">
      <extLst>
        <ext xmlns:x15="http://schemas.microsoft.com/office/spreadsheetml/2010/11/main" uri="{B97F6D7D-B522-45F9-BDA1-12C45D357490}">
          <x15:cacheHierarchy aggregatedColumn="2"/>
        </ext>
      </extLst>
    </cacheHierarchy>
    <cacheHierarchy uniqueName="[Measures].[Distinct Count of industry]" caption="Distinct Count of industry" measure="1" displayFolder="" measureGroup="1" count="0" hidden="1">
      <extLst>
        <ext xmlns:x15="http://schemas.microsoft.com/office/spreadsheetml/2010/11/main" uri="{B97F6D7D-B522-45F9-BDA1-12C45D357490}">
          <x15:cacheHierarchy aggregatedColumn="2"/>
        </ext>
      </extLst>
    </cacheHierarchy>
    <cacheHierarchy uniqueName="[Measures].[Count of studio]" caption="Count of studio" measure="1" displayFolder="" measureGroup="1" count="0" hidden="1">
      <extLst>
        <ext xmlns:x15="http://schemas.microsoft.com/office/spreadsheetml/2010/11/main" uri="{B97F6D7D-B522-45F9-BDA1-12C45D357490}">
          <x15:cacheHierarchy aggregatedColumn="5"/>
        </ext>
      </extLst>
    </cacheHierarchy>
    <cacheHierarchy uniqueName="[Measures].[Distinct Count of studio]" caption="Distinct Count of studio" measure="1" displayFolder="" measureGroup="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name]" caption="Count of name" measure="1" displayFolder="" measureGroup="5" count="0" hidden="1">
      <extLst>
        <ext xmlns:x15="http://schemas.microsoft.com/office/spreadsheetml/2010/11/main" uri="{B97F6D7D-B522-45F9-BDA1-12C45D357490}">
          <x15:cacheHierarchy aggregatedColumn="13"/>
        </ext>
      </extLst>
    </cacheHierarchy>
    <cacheHierarchy uniqueName="[Measures].[Distinct Count of name]" caption="Distinct Count of name" measure="1" displayFolder="" measureGroup="5" count="0" hidden="1">
      <extLst>
        <ext xmlns:x15="http://schemas.microsoft.com/office/spreadsheetml/2010/11/main" uri="{B97F6D7D-B522-45F9-BDA1-12C45D357490}">
          <x15:cacheHierarchy aggregatedColumn="13"/>
        </ext>
      </extLst>
    </cacheHierarchy>
    <cacheHierarchy uniqueName="[Measures].[Sum of language_id]" caption="Sum of language_id" measure="1" displayFolder="" measureGroup="5" count="0" hidden="1">
      <extLst>
        <ext xmlns:x15="http://schemas.microsoft.com/office/spreadsheetml/2010/11/main" uri="{B97F6D7D-B522-45F9-BDA1-12C45D357490}">
          <x15:cacheHierarchy aggregatedColumn="12"/>
        </ext>
      </extLst>
    </cacheHierarchy>
  </cacheHierarchies>
  <kpis count="0"/>
  <dimensions count="6">
    <dimension name="1" uniqueName="[1]" caption="1"/>
    <dimension name="3" uniqueName="[3]" caption="3"/>
    <dimension name="4" uniqueName="[4]" caption="4"/>
    <dimension name="5" uniqueName="[5]" caption="5"/>
    <dimension measure="1" name="Measures" uniqueName="[Measures]" caption="Measures"/>
    <dimension name="t2" uniqueName="[t2]" caption="t2"/>
  </dimensions>
  <measureGroups count="5">
    <measureGroup name="1" caption="1"/>
    <measureGroup name="3" caption="3"/>
    <measureGroup name="4" caption="4"/>
    <measureGroup name="5" caption="5"/>
    <measureGroup name="t2" caption="t2"/>
  </measureGroups>
  <maps count="11">
    <map measureGroup="0" dimension="0"/>
    <map measureGroup="0" dimension="3"/>
    <map measureGroup="1" dimension="1"/>
    <map measureGroup="1" dimension="3"/>
    <map measureGroup="2" dimension="0"/>
    <map measureGroup="2" dimension="2"/>
    <map measureGroup="2" dimension="3"/>
    <map measureGroup="3" dimension="3"/>
    <map measureGroup="4" dimension="0"/>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araj Begum" refreshedDate="46238.363210300929" createdVersion="3" refreshedVersion="8" minRefreshableVersion="3" recordCount="0" supportSubquery="1" supportAdvancedDrill="1" xr:uid="{4476A2C9-2801-427F-A496-1A439D15DECF}">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1].[movie_id]" caption="movie_id" attribute="1" defaultMemberUniqueName="[1].[movie_id].[All]" allUniqueName="[1].[movie_id].[All]" dimensionUniqueName="[1]" displayFolder="" count="0" memberValueDatatype="20" unbalanced="0"/>
    <cacheHierarchy uniqueName="[1].[Title]" caption="Title" attribute="1" defaultMemberUniqueName="[1].[Title].[All]" allUniqueName="[1].[Title].[All]" dimensionUniqueName="[1]" displayFolder="" count="0" memberValueDatatype="130" unbalanced="0"/>
    <cacheHierarchy uniqueName="[1].[industry]" caption="industry" attribute="1" defaultMemberUniqueName="[1].[industry].[All]" allUniqueName="[1].[industry].[All]" dimensionUniqueName="[1]" displayFolder="" count="0" memberValueDatatype="130" unbalanced="0"/>
    <cacheHierarchy uniqueName="[1].[release_year]" caption="release_year" attribute="1" defaultMemberUniqueName="[1].[release_year].[All]" allUniqueName="[1].[release_year].[All]" dimensionUniqueName="[1]" displayFolder="" count="0" memberValueDatatype="20" unbalanced="0"/>
    <cacheHierarchy uniqueName="[1].[imdb_rating]" caption="imdb_rating" attribute="1" defaultMemberUniqueName="[1].[imdb_rating].[All]" allUniqueName="[1].[imdb_rating].[All]" dimensionUniqueName="[1]" displayFolder="" count="0" memberValueDatatype="5" unbalanced="0"/>
    <cacheHierarchy uniqueName="[1].[studio]" caption="studio" attribute="1" defaultMemberUniqueName="[1].[studio].[All]" allUniqueName="[1].[studio].[All]" dimensionUniqueName="[1]" displayFolder="" count="0" memberValueDatatype="130" unbalanced="0"/>
    <cacheHierarchy uniqueName="[1].[language_id]" caption="language_id" attribute="1" defaultMemberUniqueName="[1].[language_id].[All]" allUniqueName="[1].[language_id].[All]" dimensionUniqueName="[1]" displayFolder="" count="0" memberValueDatatype="20" unbalanced="0"/>
    <cacheHierarchy uniqueName="[3].[actor_id]" caption="actor_id" attribute="1" defaultMemberUniqueName="[3].[actor_id].[All]" allUniqueName="[3].[actor_id].[All]" dimensionUniqueName="[3]" displayFolder="" count="0" memberValueDatatype="20" unbalanced="0"/>
    <cacheHierarchy uniqueName="[3].[name]" caption="name" attribute="1" defaultMemberUniqueName="[3].[name].[All]" allUniqueName="[3].[name].[All]" dimensionUniqueName="[3]" displayFolder="" count="0" memberValueDatatype="130" unbalanced="0"/>
    <cacheHierarchy uniqueName="[3].[birth_year]" caption="birth_year" attribute="1" defaultMemberUniqueName="[3].[birth_year].[All]" allUniqueName="[3].[birth_year].[All]" dimensionUniqueName="[3]" displayFolder="" count="0" memberValueDatatype="20" unbalanced="0"/>
    <cacheHierarchy uniqueName="[4].[movie_id]" caption="movie_id" attribute="1" defaultMemberUniqueName="[4].[movie_id].[All]" allUniqueName="[4].[movie_id].[All]" dimensionUniqueName="[4]" displayFolder="" count="0" memberValueDatatype="20" unbalanced="0"/>
    <cacheHierarchy uniqueName="[4].[actor_id]" caption="actor_id" attribute="1" defaultMemberUniqueName="[4].[actor_id].[All]" allUniqueName="[4].[actor_id].[All]" dimensionUniqueName="[4]" displayFolder="" count="0" memberValueDatatype="20" unbalanced="0"/>
    <cacheHierarchy uniqueName="[5].[language_id]" caption="language_id" attribute="1" defaultMemberUniqueName="[5].[language_id].[All]" allUniqueName="[5].[language_id].[All]" dimensionUniqueName="[5]" displayFolder="" count="0" memberValueDatatype="20" unbalanced="0"/>
    <cacheHierarchy uniqueName="[5].[name]" caption="name" attribute="1" defaultMemberUniqueName="[5].[name].[All]" allUniqueName="[5].[name].[All]" dimensionUniqueName="[5]" displayFolder="" count="0" memberValueDatatype="130" unbalanced="0"/>
    <cacheHierarchy uniqueName="[t2].[movie_id]" caption="movie_id" attribute="1" defaultMemberUniqueName="[t2].[movie_id].[All]" allUniqueName="[t2].[movie_id].[All]" dimensionUniqueName="[t2]" displayFolder="" count="0" memberValueDatatype="20" unbalanced="0"/>
    <cacheHierarchy uniqueName="[t2].[budget]" caption="budget" attribute="1" defaultMemberUniqueName="[t2].[budget].[All]" allUniqueName="[t2].[budget].[All]" dimensionUniqueName="[t2]" displayFolder="" count="0" memberValueDatatype="5" unbalanced="0"/>
    <cacheHierarchy uniqueName="[t2].[revenue]" caption="revenue" attribute="1" defaultMemberUniqueName="[t2].[revenue].[All]" allUniqueName="[t2].[revenue].[All]" dimensionUniqueName="[t2]" displayFolder="" count="0" memberValueDatatype="5" unbalanced="0"/>
    <cacheHierarchy uniqueName="[t2].[currency]" caption="currency" attribute="1" defaultMemberUniqueName="[t2].[currency].[All]" allUniqueName="[t2].[currency].[All]" dimensionUniqueName="[t2]" displayFolder="" count="0" memberValueDatatype="130" unbalanced="0"/>
    <cacheHierarchy uniqueName="[t2].[budget2]" caption="budget2" attribute="1" defaultMemberUniqueName="[t2].[budget2].[All]" allUniqueName="[t2].[budget2].[All]" dimensionUniqueName="[t2]" displayFolder="" count="0" memberValueDatatype="5" unbalanced="0"/>
    <cacheHierarchy uniqueName="[t2].[currency3]" caption="currency3" attribute="1" defaultMemberUniqueName="[t2].[currency3].[All]" allUniqueName="[t2].[currency3].[All]" dimensionUniqueName="[t2]" displayFolder="" count="0" memberValueDatatype="5" unbalanced="0"/>
    <cacheHierarchy uniqueName="[t2].[profit]" caption="profit" attribute="1" defaultMemberUniqueName="[t2].[profit].[All]" allUniqueName="[t2].[profit].[All]" dimensionUniqueName="[t2]" displayFolder="" count="0" memberValueDatatype="5" unbalanced="0"/>
    <cacheHierarchy uniqueName="[Measures].[__XL_Count Table3]" caption="__XL_Count Table3" measure="1" displayFolder="" measureGroup="4" count="0" hidden="1"/>
    <cacheHierarchy uniqueName="[Measures].[__XL_Count Table4]" caption="__XL_Count Table4" measure="1" displayFolder="" measureGroup="3" count="0" hidden="1"/>
    <cacheHierarchy uniqueName="[Measures].[__XL_Count Table5]" caption="__XL_Count Table5" measure="1" displayFolder="" measureGroup="t2" count="0" hidden="1"/>
    <cacheHierarchy uniqueName="[Measures].[__XL_Count Table6]" caption="__XL_Count Table6" measure="1" displayFolder="" measureGroup="5" count="0" hidden="1"/>
    <cacheHierarchy uniqueName="[Measures].[__XL_Count Table2]" caption="__XL_Count Table2" measure="1" displayFolder="" measureGroup="1" count="0" hidden="1"/>
    <cacheHierarchy uniqueName="[Measures].[__No measures defined]" caption="__No measures defined" measure="1" displayFolder="" count="0" hidden="1"/>
    <cacheHierarchy uniqueName="[Measures].[Sum of movie_id]" caption="Sum of movie_id" measure="1" displayFolder="" measureGroup="1" count="0" hidden="1">
      <extLst>
        <ext xmlns:x15="http://schemas.microsoft.com/office/spreadsheetml/2010/11/main" uri="{B97F6D7D-B522-45F9-BDA1-12C45D357490}">
          <x15:cacheHierarchy aggregatedColumn="0"/>
        </ext>
      </extLst>
    </cacheHierarchy>
    <cacheHierarchy uniqueName="[Measures].[Count of movie_id]" caption="Count of movie_id" measure="1" displayFolder="" measureGroup="1" count="0" hidden="1">
      <extLst>
        <ext xmlns:x15="http://schemas.microsoft.com/office/spreadsheetml/2010/11/main" uri="{B97F6D7D-B522-45F9-BDA1-12C45D357490}">
          <x15:cacheHierarchy aggregatedColumn="0"/>
        </ext>
      </extLst>
    </cacheHierarchy>
    <cacheHierarchy uniqueName="[Measures].[Count of industry]" caption="Count of industry" measure="1" displayFolder="" measureGroup="1" count="0" hidden="1">
      <extLst>
        <ext xmlns:x15="http://schemas.microsoft.com/office/spreadsheetml/2010/11/main" uri="{B97F6D7D-B522-45F9-BDA1-12C45D357490}">
          <x15:cacheHierarchy aggregatedColumn="2"/>
        </ext>
      </extLst>
    </cacheHierarchy>
    <cacheHierarchy uniqueName="[Measures].[Distinct Count of industry]" caption="Distinct Count of industry" measure="1" displayFolder="" measureGroup="1" count="0" hidden="1">
      <extLst>
        <ext xmlns:x15="http://schemas.microsoft.com/office/spreadsheetml/2010/11/main" uri="{B97F6D7D-B522-45F9-BDA1-12C45D357490}">
          <x15:cacheHierarchy aggregatedColumn="2"/>
        </ext>
      </extLst>
    </cacheHierarchy>
    <cacheHierarchy uniqueName="[Measures].[Count of studio]" caption="Count of studio" measure="1" displayFolder="" measureGroup="1" count="0" hidden="1">
      <extLst>
        <ext xmlns:x15="http://schemas.microsoft.com/office/spreadsheetml/2010/11/main" uri="{B97F6D7D-B522-45F9-BDA1-12C45D357490}">
          <x15:cacheHierarchy aggregatedColumn="5"/>
        </ext>
      </extLst>
    </cacheHierarchy>
    <cacheHierarchy uniqueName="[Measures].[Distinct Count of studio]" caption="Distinct Count of studio" measure="1" displayFolder="" measureGroup="1"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5" count="0" hidden="1">
      <extLst>
        <ext xmlns:x15="http://schemas.microsoft.com/office/spreadsheetml/2010/11/main" uri="{B97F6D7D-B522-45F9-BDA1-12C45D357490}">
          <x15:cacheHierarchy aggregatedColumn="13"/>
        </ext>
      </extLst>
    </cacheHierarchy>
    <cacheHierarchy uniqueName="[Measures].[Distinct Count of name]" caption="Distinct Count of name" measure="1" displayFolder="" measureGroup="5" count="0" hidden="1">
      <extLst>
        <ext xmlns:x15="http://schemas.microsoft.com/office/spreadsheetml/2010/11/main" uri="{B97F6D7D-B522-45F9-BDA1-12C45D357490}">
          <x15:cacheHierarchy aggregatedColumn="13"/>
        </ext>
      </extLst>
    </cacheHierarchy>
    <cacheHierarchy uniqueName="[Measures].[Sum of language_id]" caption="Sum of language_id" measure="1" displayFolder="" measureGroup="5" count="0" hidden="1">
      <extLst>
        <ext xmlns:x15="http://schemas.microsoft.com/office/spreadsheetml/2010/11/main" uri="{B97F6D7D-B522-45F9-BDA1-12C45D357490}">
          <x15:cacheHierarchy aggregatedColumn="12"/>
        </ext>
      </extLst>
    </cacheHierarchy>
  </cacheHierarchies>
  <kpis count="0"/>
  <dimensions count="6">
    <dimension name="1" uniqueName="[1]" caption="1"/>
    <dimension name="3" uniqueName="[3]" caption="3"/>
    <dimension name="4" uniqueName="[4]" caption="4"/>
    <dimension name="5" uniqueName="[5]" caption="5"/>
    <dimension measure="1" name="Measures" uniqueName="[Measures]" caption="Measures"/>
    <dimension name="t2" uniqueName="[t2]" caption="t2"/>
  </dimensions>
  <measureGroups count="5">
    <measureGroup name="1" caption="1"/>
    <measureGroup name="3" caption="3"/>
    <measureGroup name="4" caption="4"/>
    <measureGroup name="5" caption="5"/>
    <measureGroup name="t2" caption="t2"/>
  </measureGroups>
  <maps count="11">
    <map measureGroup="0" dimension="0"/>
    <map measureGroup="0" dimension="3"/>
    <map measureGroup="1" dimension="1"/>
    <map measureGroup="1" dimension="3"/>
    <map measureGroup="2" dimension="0"/>
    <map measureGroup="2" dimension="2"/>
    <map measureGroup="2" dimension="3"/>
    <map measureGroup="3" dimension="3"/>
    <map measureGroup="4" dimension="0"/>
    <map measureGroup="4" dimension="3"/>
    <map measureGroup="4" dimension="5"/>
  </maps>
  <extLst>
    <ext xmlns:x14="http://schemas.microsoft.com/office/spreadsheetml/2009/9/main" uri="{725AE2AE-9491-48be-B2B4-4EB974FC3084}">
      <x14:pivotCacheDefinition slicerData="1" pivotCacheId="103558278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1"/>
    <n v="12.5"/>
    <s v="INR"/>
    <n v="1"/>
    <n v="12.5"/>
    <x v="0"/>
  </r>
  <r>
    <x v="1"/>
    <n v="200"/>
    <n v="954.8"/>
    <s v="USD"/>
    <n v="20000"/>
    <n v="95480"/>
    <x v="1"/>
  </r>
  <r>
    <x v="2"/>
    <n v="165"/>
    <n v="644.79999999999995"/>
    <s v="USD"/>
    <n v="16500"/>
    <n v="64479.999999999993"/>
    <x v="2"/>
  </r>
  <r>
    <x v="3"/>
    <n v="180"/>
    <n v="854"/>
    <s v="USD"/>
    <n v="18000"/>
    <n v="85400"/>
    <x v="3"/>
  </r>
  <r>
    <x v="4"/>
    <n v="250"/>
    <n v="670"/>
    <s v="USD"/>
    <n v="25000"/>
    <n v="67000"/>
    <x v="4"/>
  </r>
  <r>
    <x v="5"/>
    <n v="400"/>
    <n v="2000"/>
    <s v="INR"/>
    <n v="400"/>
    <n v="2000"/>
    <x v="5"/>
  </r>
  <r>
    <x v="6"/>
    <n v="550"/>
    <n v="4000"/>
    <s v="INR"/>
    <n v="550"/>
    <n v="4000"/>
    <x v="6"/>
  </r>
  <r>
    <x v="7"/>
    <n v="390"/>
    <n v="1360"/>
    <s v="INR"/>
    <n v="390"/>
    <n v="1360"/>
    <x v="7"/>
  </r>
  <r>
    <x v="8"/>
    <n v="1.4"/>
    <n v="3.5"/>
    <s v="INR"/>
    <n v="1.4"/>
    <n v="3.5"/>
    <x v="8"/>
  </r>
  <r>
    <x v="9"/>
    <n v="25"/>
    <n v="73.3"/>
    <s v="USD"/>
    <n v="2500"/>
    <n v="7330"/>
    <x v="9"/>
  </r>
  <r>
    <x v="10"/>
    <n v="165"/>
    <n v="701.8"/>
    <s v="USD"/>
    <n v="16500"/>
    <n v="70180"/>
    <x v="10"/>
  </r>
  <r>
    <x v="11"/>
    <n v="205"/>
    <n v="365.3"/>
    <s v="USD"/>
    <n v="20500"/>
    <n v="36530"/>
    <x v="11"/>
  </r>
  <r>
    <x v="12"/>
    <n v="55"/>
    <n v="307.10000000000002"/>
    <s v="USD"/>
    <n v="5500"/>
    <n v="30710.000000000004"/>
    <x v="12"/>
  </r>
  <r>
    <x v="13"/>
    <n v="103"/>
    <n v="460.5"/>
    <s v="USD"/>
    <n v="10300"/>
    <n v="46050"/>
    <x v="13"/>
  </r>
  <r>
    <x v="14"/>
    <n v="200"/>
    <n v="2202"/>
    <s v="USD"/>
    <n v="20000"/>
    <n v="220200"/>
    <x v="14"/>
  </r>
  <r>
    <x v="15"/>
    <n v="3.18"/>
    <n v="3.3"/>
    <s v="USD"/>
    <n v="318"/>
    <n v="330"/>
    <x v="15"/>
  </r>
  <r>
    <x v="16"/>
    <n v="237"/>
    <n v="2847"/>
    <s v="USD"/>
    <n v="23700"/>
    <n v="284700"/>
    <x v="16"/>
  </r>
  <r>
    <x v="17"/>
    <n v="7.2"/>
    <n v="291"/>
    <s v="USD"/>
    <n v="720"/>
    <n v="29100"/>
    <x v="17"/>
  </r>
  <r>
    <x v="18"/>
    <n v="185"/>
    <n v="1006"/>
    <s v="USD"/>
    <n v="18500"/>
    <n v="100600"/>
    <x v="18"/>
  </r>
  <r>
    <x v="19"/>
    <n v="22"/>
    <n v="322.2"/>
    <s v="USD"/>
    <n v="2200"/>
    <n v="32220"/>
    <x v="19"/>
  </r>
  <r>
    <x v="20"/>
    <n v="63"/>
    <n v="1046"/>
    <s v="USD"/>
    <n v="6300"/>
    <n v="104600"/>
    <x v="20"/>
  </r>
  <r>
    <x v="21"/>
    <n v="15.5"/>
    <n v="263.10000000000002"/>
    <s v="USD"/>
    <n v="1550"/>
    <n v="26310.000000000004"/>
    <x v="21"/>
  </r>
  <r>
    <x v="22"/>
    <n v="400"/>
    <n v="2798"/>
    <s v="USD"/>
    <n v="40000"/>
    <n v="279800"/>
    <x v="22"/>
  </r>
  <r>
    <x v="23"/>
    <n v="400"/>
    <n v="2048"/>
    <s v="USD"/>
    <n v="40000"/>
    <n v="204800"/>
    <x v="23"/>
  </r>
  <r>
    <x v="24"/>
    <n v="70"/>
    <n v="100"/>
    <s v="INR"/>
    <n v="70"/>
    <n v="100"/>
    <x v="24"/>
  </r>
  <r>
    <x v="25"/>
    <n v="120"/>
    <n v="1350"/>
    <s v="INR"/>
    <n v="120"/>
    <n v="1350"/>
    <x v="25"/>
  </r>
  <r>
    <x v="26"/>
    <n v="100"/>
    <n v="410"/>
    <s v="INR"/>
    <n v="100"/>
    <n v="410"/>
    <x v="26"/>
  </r>
  <r>
    <x v="27"/>
    <n v="850"/>
    <n v="8540"/>
    <s v="INR"/>
    <n v="850"/>
    <n v="8540"/>
    <x v="27"/>
  </r>
  <r>
    <x v="28"/>
    <n v="1"/>
    <n v="5.9"/>
    <s v="INR"/>
    <n v="1"/>
    <n v="5.9"/>
    <x v="28"/>
  </r>
  <r>
    <x v="29"/>
    <n v="2"/>
    <n v="3.6"/>
    <s v="INR"/>
    <n v="2"/>
    <n v="3.6"/>
    <x v="29"/>
  </r>
  <r>
    <x v="30"/>
    <n v="5.5"/>
    <n v="12"/>
    <s v="INR"/>
    <n v="5.5"/>
    <n v="12"/>
    <x v="30"/>
  </r>
  <r>
    <x v="31"/>
    <n v="1.8"/>
    <n v="6.5"/>
    <s v="INR"/>
    <n v="1.8"/>
    <n v="6.5"/>
    <x v="31"/>
  </r>
  <r>
    <x v="32"/>
    <n v="250"/>
    <n v="3409"/>
    <s v="INR"/>
    <n v="250"/>
    <n v="3409"/>
    <x v="32"/>
  </r>
  <r>
    <x v="33"/>
    <n v="900"/>
    <n v="11690"/>
    <s v="INR"/>
    <n v="900"/>
    <n v="11690"/>
    <x v="33"/>
  </r>
  <r>
    <x v="34"/>
    <n v="216.7"/>
    <n v="370.6"/>
    <s v="USD"/>
    <n v="21670"/>
    <n v="37060"/>
    <x v="34"/>
  </r>
  <r>
    <x v="35"/>
    <n v="177"/>
    <n v="714.4"/>
    <s v="USD"/>
    <n v="17700"/>
    <n v="71440"/>
    <x v="35"/>
  </r>
  <r>
    <x v="36"/>
    <n v="1.8"/>
    <n v="3.1"/>
    <s v="INR"/>
    <n v="1.8"/>
    <n v="3.1"/>
    <x v="36"/>
  </r>
  <r>
    <x v="37"/>
    <n v="500"/>
    <n v="950"/>
    <s v="INR"/>
    <n v="500"/>
    <n v="950"/>
    <x v="37"/>
  </r>
  <r>
    <x v="38"/>
    <n v="30"/>
    <n v="350"/>
    <s v="INR"/>
    <n v="30"/>
    <n v="350"/>
    <x v="38"/>
  </r>
  <r>
    <x v="39"/>
    <n v="160"/>
    <n v="836.8"/>
    <s v="USD"/>
    <n v="16000"/>
    <n v="83680"/>
    <x v="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n v="101"/>
    <s v="K.G.F: Chapter 2"/>
    <x v="0"/>
    <n v="2022"/>
    <n v="8.4"/>
    <x v="0"/>
    <n v="3"/>
  </r>
  <r>
    <n v="102"/>
    <s v="Doctor Strange in the Multiverse of Madness"/>
    <x v="1"/>
    <n v="2022"/>
    <n v="7"/>
    <x v="1"/>
    <n v="5"/>
  </r>
  <r>
    <n v="103"/>
    <s v="Thor: The Dark World "/>
    <x v="1"/>
    <n v="2013"/>
    <n v="6.8"/>
    <x v="1"/>
    <n v="5"/>
  </r>
  <r>
    <n v="104"/>
    <s v="Thor: Ragnarok "/>
    <x v="1"/>
    <n v="2017"/>
    <n v="7.9"/>
    <x v="2"/>
    <n v="5"/>
  </r>
  <r>
    <n v="106"/>
    <s v="Sholay"/>
    <x v="0"/>
    <n v="1975"/>
    <n v="8.1"/>
    <x v="3"/>
    <n v="1"/>
  </r>
  <r>
    <n v="107"/>
    <s v="Dilwale Dulhania Le Jayenge"/>
    <x v="0"/>
    <n v="1995"/>
    <n v="8"/>
    <x v="4"/>
    <n v="1"/>
  </r>
  <r>
    <n v="108"/>
    <s v=" 3 Idiots"/>
    <x v="0"/>
    <n v="2009"/>
    <n v="8.4"/>
    <x v="5"/>
    <n v="1"/>
  </r>
  <r>
    <n v="109"/>
    <s v="Kabhi Khushi Kabhie Gham"/>
    <x v="0"/>
    <n v="2001"/>
    <n v="7.4"/>
    <x v="6"/>
    <n v="1"/>
  </r>
  <r>
    <n v="110"/>
    <s v="Bajirao Mastani "/>
    <x v="0"/>
    <n v="2015"/>
    <n v="7.2"/>
    <x v="7"/>
    <n v="1"/>
  </r>
  <r>
    <n v="111"/>
    <s v="The Shawshank Redemption"/>
    <x v="1"/>
    <n v="1994"/>
    <n v="9.3000000000000007"/>
    <x v="8"/>
    <n v="5"/>
  </r>
  <r>
    <n v="112"/>
    <s v="Inception"/>
    <x v="1"/>
    <n v="2010"/>
    <n v="8.8000000000000007"/>
    <x v="9"/>
    <n v="5"/>
  </r>
  <r>
    <n v="113"/>
    <s v="Interstellar"/>
    <x v="1"/>
    <n v="2014"/>
    <n v="8.6"/>
    <x v="9"/>
    <n v="5"/>
  </r>
  <r>
    <n v="115"/>
    <s v="The Pursuit of Happyness"/>
    <x v="1"/>
    <n v="2006"/>
    <n v="8"/>
    <x v="10"/>
    <n v="5"/>
  </r>
  <r>
    <n v="116"/>
    <s v="Gladiator"/>
    <x v="1"/>
    <n v="2000"/>
    <n v="8.5"/>
    <x v="11"/>
    <n v="5"/>
  </r>
  <r>
    <n v="117"/>
    <s v="Titanic"/>
    <x v="1"/>
    <n v="1997"/>
    <n v="7.9"/>
    <x v="12"/>
    <n v="5"/>
  </r>
  <r>
    <n v="118"/>
    <s v="It's a Wonderful Life"/>
    <x v="1"/>
    <n v="1946"/>
    <n v="8.6"/>
    <x v="13"/>
    <n v="5"/>
  </r>
  <r>
    <n v="119"/>
    <s v="Avatar"/>
    <x v="1"/>
    <n v="2009"/>
    <n v="7.8"/>
    <x v="14"/>
    <n v="5"/>
  </r>
  <r>
    <n v="120"/>
    <s v="The Godfather"/>
    <x v="1"/>
    <n v="1972"/>
    <n v="9.1999999999999993"/>
    <x v="15"/>
    <n v="5"/>
  </r>
  <r>
    <n v="121"/>
    <s v="The Dark Knight"/>
    <x v="1"/>
    <n v="2008"/>
    <n v="9"/>
    <x v="16"/>
    <n v="5"/>
  </r>
  <r>
    <n v="122"/>
    <s v="Schindler's List"/>
    <x v="1"/>
    <n v="1993"/>
    <n v="9"/>
    <x v="17"/>
    <n v="5"/>
  </r>
  <r>
    <n v="123"/>
    <s v="Jurassic Park"/>
    <x v="1"/>
    <n v="1993"/>
    <n v="8.1999999999999993"/>
    <x v="17"/>
    <n v="5"/>
  </r>
  <r>
    <n v="125"/>
    <s v="Avengers: Endgame"/>
    <x v="1"/>
    <n v="2019"/>
    <n v="8.4"/>
    <x v="1"/>
    <n v="5"/>
  </r>
  <r>
    <n v="126"/>
    <s v="Avengers: Infinity War"/>
    <x v="1"/>
    <n v="2018"/>
    <n v="8.4"/>
    <x v="1"/>
    <n v="5"/>
  </r>
  <r>
    <n v="127"/>
    <s v="Pather Panchali"/>
    <x v="0"/>
    <n v="1955"/>
    <n v="8.3000000000000007"/>
    <x v="18"/>
    <n v="7"/>
  </r>
  <r>
    <n v="128"/>
    <s v="Taare Zameen Par"/>
    <x v="0"/>
    <n v="2007"/>
    <n v="8.3000000000000007"/>
    <x v="7"/>
    <n v="1"/>
  </r>
  <r>
    <n v="129"/>
    <s v="Munna Bhai M.B.B.S."/>
    <x v="0"/>
    <n v="2003"/>
    <n v="8.1"/>
    <x v="19"/>
    <n v="1"/>
  </r>
  <r>
    <n v="124"/>
    <s v="Parasite"/>
    <x v="1"/>
    <n v="2019"/>
    <n v="8.5"/>
    <x v="7"/>
    <n v="5"/>
  </r>
  <r>
    <n v="105"/>
    <s v="Thor: Love and Thunder "/>
    <x v="1"/>
    <n v="2022"/>
    <n v="6.8"/>
    <x v="1"/>
    <n v="5"/>
  </r>
  <r>
    <n v="130"/>
    <s v="PK"/>
    <x v="0"/>
    <n v="2014"/>
    <n v="8.1"/>
    <x v="20"/>
    <n v="1"/>
  </r>
  <r>
    <n v="131"/>
    <s v="Sanju"/>
    <x v="0"/>
    <n v="2018"/>
    <n v="0"/>
    <x v="20"/>
    <n v="1"/>
  </r>
  <r>
    <n v="132"/>
    <s v="Pushpa: The Rise - Part 1"/>
    <x v="0"/>
    <n v="2021"/>
    <n v="7.6"/>
    <x v="21"/>
    <n v="2"/>
  </r>
  <r>
    <n v="133"/>
    <s v="RRR"/>
    <x v="0"/>
    <n v="2022"/>
    <n v="8"/>
    <x v="22"/>
    <n v="2"/>
  </r>
  <r>
    <n v="134"/>
    <s v="Baahubali: The Beginning"/>
    <x v="0"/>
    <n v="2015"/>
    <n v="8"/>
    <x v="23"/>
    <n v="2"/>
  </r>
  <r>
    <n v="135"/>
    <s v="The Kashmir Files"/>
    <x v="0"/>
    <n v="2022"/>
    <n v="8.3000000000000007"/>
    <x v="24"/>
    <n v="1"/>
  </r>
  <r>
    <n v="136"/>
    <s v="Bajrangi Bhaijaan"/>
    <x v="0"/>
    <n v="2015"/>
    <n v="8.1"/>
    <x v="25"/>
    <n v="1"/>
  </r>
  <r>
    <n v="137"/>
    <s v="Captain America: The First Avenger"/>
    <x v="1"/>
    <n v="2011"/>
    <n v="6.9"/>
    <x v="1"/>
    <n v="5"/>
  </r>
  <r>
    <n v="138"/>
    <s v="Captain America: The Winter Soldier"/>
    <x v="1"/>
    <n v="2014"/>
    <n v="7.8"/>
    <x v="1"/>
    <n v="5"/>
  </r>
  <r>
    <n v="139"/>
    <s v="Race 3"/>
    <x v="0"/>
    <n v="2018"/>
    <n v="1.9"/>
    <x v="25"/>
    <n v="1"/>
  </r>
  <r>
    <n v="140"/>
    <s v="Shershaah"/>
    <x v="0"/>
    <n v="2021"/>
    <n v="8.4"/>
    <x v="6"/>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n v="11.5"/>
  </r>
  <r>
    <x v="1"/>
    <n v="75480"/>
  </r>
  <r>
    <x v="2"/>
    <n v="47979.999999999993"/>
  </r>
  <r>
    <x v="3"/>
    <n v="67400"/>
  </r>
  <r>
    <x v="4"/>
    <n v="42000"/>
  </r>
  <r>
    <x v="5"/>
    <n v="0"/>
  </r>
  <r>
    <x v="6"/>
    <n v="1600"/>
  </r>
  <r>
    <x v="7"/>
    <n v="3450"/>
  </r>
  <r>
    <x v="8"/>
    <n v="970"/>
  </r>
  <r>
    <x v="9"/>
    <n v="2.1"/>
  </r>
  <r>
    <x v="10"/>
    <n v="4830"/>
  </r>
  <r>
    <x v="11"/>
    <n v="0"/>
  </r>
  <r>
    <x v="12"/>
    <n v="53680"/>
  </r>
  <r>
    <x v="13"/>
    <n v="25210.000000000004"/>
  </r>
  <r>
    <x v="14"/>
    <n v="35750"/>
  </r>
  <r>
    <x v="15"/>
    <n v="200200"/>
  </r>
  <r>
    <x v="16"/>
    <n v="12"/>
  </r>
  <r>
    <x v="17"/>
    <n v="261000"/>
  </r>
  <r>
    <x v="18"/>
    <n v="28380"/>
  </r>
  <r>
    <x v="19"/>
    <n v="82100"/>
  </r>
  <r>
    <x v="20"/>
    <n v="30020"/>
  </r>
  <r>
    <x v="21"/>
    <n v="98300"/>
  </r>
  <r>
    <x v="22"/>
    <n v="24760.000000000004"/>
  </r>
  <r>
    <x v="23"/>
    <n v="239800"/>
  </r>
  <r>
    <x v="24"/>
    <n v="164800"/>
  </r>
  <r>
    <x v="25"/>
    <n v="30"/>
  </r>
  <r>
    <x v="26"/>
    <n v="1230"/>
  </r>
  <r>
    <x v="27"/>
    <n v="310"/>
  </r>
  <r>
    <x v="28"/>
    <n v="7690"/>
  </r>
  <r>
    <x v="29"/>
    <n v="4.9000000000000004"/>
  </r>
  <r>
    <x v="30"/>
    <n v="1.6"/>
  </r>
  <r>
    <x v="31"/>
    <n v="6.5"/>
  </r>
  <r>
    <x v="32"/>
    <n v="4.7"/>
  </r>
  <r>
    <x v="33"/>
    <n v="3159"/>
  </r>
  <r>
    <x v="34"/>
    <n v="10790"/>
  </r>
  <r>
    <x v="35"/>
    <n v="15390"/>
  </r>
  <r>
    <x v="36"/>
    <n v="53740"/>
  </r>
  <r>
    <x v="37"/>
    <n v="1.3"/>
  </r>
  <r>
    <x v="38"/>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FD2686-C03D-4EE2-BF23-71DF9C3AE104}" name="PivotTable10" cacheId="11" applyNumberFormats="0" applyBorderFormats="0" applyFontFormats="0" applyPatternFormats="0" applyAlignmentFormats="0" applyWidthHeightFormats="1" dataCaption="Values" tag="1813cc3f-57e4-46d9-a91b-4df8e15ae386" updatedVersion="8" minRefreshableVersion="3" useAutoFormatting="1" itemPrintTitles="1" createdVersion="5" indent="0" outline="1" outlineData="1" multipleFieldFilters="0" chartFormat="29">
  <location ref="B3:C43" firstHeaderRow="1" firstDataRow="1" firstDataCol="1"/>
  <pivotFields count="2">
    <pivotField axis="axisRow" allDrilled="1" subtotalTop="0" showAll="0" dataSourceSort="1"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 dataField="1" subtotalTop="0" showAll="0" defaultSubtota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Count of movie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movie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A3C134-715E-4F4F-8620-677C920C36B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7">
    <pivotField showAll="0"/>
    <pivotField showAll="0"/>
    <pivotField showAll="0"/>
    <pivotField showAll="0"/>
    <pivotField numFmtId="2" showAll="0"/>
    <pivotField axis="axisRow" dataField="1" showAll="0" sortType="ascending">
      <items count="27">
        <item h="1" x="5"/>
        <item x="18"/>
        <item x="2"/>
        <item x="15"/>
        <item x="14"/>
        <item x="23"/>
        <item x="8"/>
        <item x="10"/>
        <item x="6"/>
        <item x="22"/>
        <item x="0"/>
        <item h="1" x="13"/>
        <item h="1" x="1"/>
        <item x="21"/>
        <item h="1" x="7"/>
        <item h="1" x="12"/>
        <item h="1" x="25"/>
        <item h="1" x="16"/>
        <item x="3"/>
        <item x="17"/>
        <item h="1" x="11"/>
        <item x="20"/>
        <item x="19"/>
        <item x="9"/>
        <item x="4"/>
        <item x="24"/>
        <item t="default"/>
      </items>
    </pivotField>
    <pivotField showAll="0"/>
  </pivotFields>
  <rowFields count="1">
    <field x="5"/>
  </rowFields>
  <rowItems count="19">
    <i>
      <x v="1"/>
    </i>
    <i>
      <x v="2"/>
    </i>
    <i>
      <x v="3"/>
    </i>
    <i>
      <x v="4"/>
    </i>
    <i>
      <x v="5"/>
    </i>
    <i>
      <x v="6"/>
    </i>
    <i>
      <x v="7"/>
    </i>
    <i>
      <x v="8"/>
    </i>
    <i>
      <x v="9"/>
    </i>
    <i>
      <x v="10"/>
    </i>
    <i>
      <x v="13"/>
    </i>
    <i>
      <x v="18"/>
    </i>
    <i>
      <x v="19"/>
    </i>
    <i>
      <x v="21"/>
    </i>
    <i>
      <x v="22"/>
    </i>
    <i>
      <x v="23"/>
    </i>
    <i>
      <x v="24"/>
    </i>
    <i>
      <x v="25"/>
    </i>
    <i t="grand">
      <x/>
    </i>
  </rowItems>
  <colItems count="1">
    <i/>
  </colItems>
  <dataFields count="1">
    <dataField name="Count of studio" fld="5"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3DE33E-E8B7-4079-B61E-270DD1A3D864}" name="PivotTable8" cacheId="12" applyNumberFormats="0" applyBorderFormats="0" applyFontFormats="0" applyPatternFormats="0" applyAlignmentFormats="0" applyWidthHeightFormats="1" dataCaption="Values" tag="3aebcf82-a0ef-49d3-8e99-b0b7ee5708a4" updatedVersion="8" minRefreshableVersion="3" useAutoFormatting="1" subtotalHiddenItems="1" itemPrintTitles="1" createdVersion="8" indent="0" outline="1" outlineData="1" multipleFieldFilters="0" chartFormat="11">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Distinct Count of industry" fld="1" subtotal="count" baseField="0" baseItem="0">
      <extLst>
        <ext xmlns:x15="http://schemas.microsoft.com/office/spreadsheetml/2010/11/main" uri="{FABC7310-3BB5-11E1-824E-6D434824019B}">
          <x15:dataField isCountDistinct="1"/>
        </ext>
      </extLst>
    </dataField>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industry"/>
    <pivotHierarchy dragToData="1" caption="Distinct Count of industr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2">
        <x15:activeTabTopLevelEntity nam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CF8E05-ECD5-4D26-93A3-3B85D7AFA087}" name="PivotTable9" cacheId="13" applyNumberFormats="0" applyBorderFormats="0" applyFontFormats="0" applyPatternFormats="0" applyAlignmentFormats="0" applyWidthHeightFormats="1" dataCaption="Values" tag="33e073f5-f14a-4071-90b3-2b7d376a4190" updatedVersion="8" minRefreshableVersion="3" useAutoFormatting="1" subtotalHiddenItems="1" itemPrintTitles="1" createdVersion="8" indent="0" outline="1" outlineData="1" multipleFieldFilters="0" chartFormat="2">
  <location ref="A3:B26" firstHeaderRow="1" firstDataRow="1" firstDataCol="1"/>
  <pivotFields count="2">
    <pivotField axis="axisRow" allDrilled="1" subtotalTop="0" showAll="0" dataSourceSort="1" defaultSubtotal="0" defaultAttributeDrillState="1">
      <items count="23">
        <item s="1" x="0"/>
        <item s="1" x="1"/>
        <item s="1" x="2"/>
        <item s="1" x="3"/>
        <item s="1" x="4"/>
        <item s="1" x="5"/>
        <item s="1" x="6"/>
        <item s="1" x="7"/>
        <item s="1" x="8"/>
        <item s="1" x="9"/>
        <item s="1" x="10"/>
        <item s="1" x="11"/>
        <item s="1" x="12"/>
        <item s="1" x="13"/>
        <item s="1" x="14"/>
        <item s="1" x="15"/>
        <item s="1" x="16"/>
        <item s="1" x="17"/>
        <item s="1" x="18"/>
        <item s="1" x="19"/>
        <item s="1" x="20"/>
        <item s="1" x="21"/>
        <item s="1" x="22"/>
      </items>
    </pivotField>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Distinct Count of studio" fld="1" subtotal="count" baseField="0" baseItem="0">
      <extLst>
        <ext xmlns:x15="http://schemas.microsoft.com/office/spreadsheetml/2010/11/main" uri="{FABC7310-3BB5-11E1-824E-6D434824019B}">
          <x15:dataField isCountDistinct="1"/>
        </ext>
      </extLst>
    </dataField>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studio"/>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2">
        <x15:activeTabTopLevelEntity nam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35369A-CA76-40EE-B966-4689680E09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44" firstHeaderRow="1" firstDataRow="1" firstDataCol="1"/>
  <pivotFields count="7">
    <pivotField showAll="0">
      <items count="41">
        <item h="1" x="0"/>
        <item h="1" x="1"/>
        <item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t="default"/>
      </items>
    </pivotField>
    <pivotField showAll="0"/>
    <pivotField showAll="0"/>
    <pivotField showAll="0"/>
    <pivotField showAll="0"/>
    <pivotField showAll="0"/>
    <pivotField axis="axisRow" dataField="1" showAll="0">
      <items count="41">
        <item x="36"/>
        <item x="29"/>
        <item x="8"/>
        <item x="31"/>
        <item x="28"/>
        <item x="30"/>
        <item x="0"/>
        <item x="15"/>
        <item x="24"/>
        <item x="26"/>
        <item x="38"/>
        <item x="37"/>
        <item x="7"/>
        <item x="25"/>
        <item x="5"/>
        <item x="32"/>
        <item x="6"/>
        <item x="9"/>
        <item x="27"/>
        <item x="33"/>
        <item x="34"/>
        <item x="11"/>
        <item x="21"/>
        <item x="12"/>
        <item x="17"/>
        <item x="19"/>
        <item x="13"/>
        <item x="4"/>
        <item x="2"/>
        <item x="10"/>
        <item x="35"/>
        <item x="3"/>
        <item x="39"/>
        <item x="1"/>
        <item x="18"/>
        <item x="20"/>
        <item x="23"/>
        <item x="14"/>
        <item x="22"/>
        <item x="16"/>
        <item t="default"/>
      </items>
    </pivotField>
  </pivotFields>
  <rowFields count="1">
    <field x="6"/>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profi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271FD7-B316-4727-B953-D389C7D9DD3C}"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43" firstHeaderRow="1" firstDataRow="1" firstDataCol="1"/>
  <pivotFields count="2">
    <pivotField axis="axisRow"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dataField="1"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io" xr10:uid="{532B498C-FB43-40D0-A624-4FA4C72F2387}" sourceName="[1].[studio]">
  <data>
    <olap pivotCacheId="1035582787">
      <levels count="2">
        <level uniqueName="[1].[studio].[(All)]" sourceCaption="(All)" count="0"/>
        <level uniqueName="[1].[studio].[studio]" sourceCaption="studio" count="26">
          <ranges>
            <range startItem="0">
              <i n="[1].[studio].&amp;[  Vinod Chopra Films]" c="  Vinod Chopra Films"/>
              <i n="[1].[studio].&amp;[ Government of West Bengal]" c=" Government of West Bengal"/>
              <i n="[1].[studio].&amp;[ Marvel Studios]" c=" Marvel Studios"/>
              <i n="[1].[studio].&amp;[ Paramount Pictures]" c=" Paramount Pictures"/>
              <i n="[1].[studio].&amp;[20th Century Fox]" c="20th Century Fox"/>
              <i n="[1].[studio].&amp;[Arka Media Works]" c="Arka Media Works"/>
              <i n="[1].[studio].&amp;[Castle Rock Entertainment]" c="Castle Rock Entertainment"/>
              <i n="[1].[studio].&amp;[Columbia Pictures]" c="Columbia Pictures"/>
              <i n="[1].[studio].&amp;[Dharma Productions]" c="Dharma Productions"/>
              <i n="[1].[studio].&amp;[DVV Entertainment]" c="DVV Entertainment"/>
              <i n="[1].[studio].&amp;[Homabalefilms]" c="Homabalefilms"/>
              <i n="[1].[studio].&amp;[Liberty Films]" c="Liberty Films"/>
              <i n="[1].[studio].&amp;[Marvel Studios]" c="Marvel Studios"/>
              <i n="[1].[studio].&amp;[Mythri Movie Makers]" c="Mythri Movie Makers"/>
              <i n="[1].[studio].&amp;[Others]" c="Others"/>
              <i n="[1].[studio].&amp;[Paramount Pictures]" c="Paramount Pictures"/>
              <i n="[1].[studio].&amp;[Salman Khan Films]" c="Salman Khan Films"/>
              <i n="[1].[studio].&amp;[Syncopy]" c="Syncopy"/>
              <i n="[1].[studio].&amp;[United Producers]" c="United Producers"/>
              <i n="[1].[studio].&amp;[Universal Pictures]" c="Universal Pictures"/>
              <i n="[1].[studio].&amp;[Vinod Chopra Films]" c="Vinod Chopra Films"/>
              <i n="[1].[studio].&amp;[Vinod Chopra Productions]" c="Vinod Chopra Productions"/>
              <i n="[1].[studio].&amp;[Warner Bros. Pictures]" c="Warner Bros. Pictures"/>
              <i n="[1].[studio].&amp;[Yash Raj Films]" c="Yash Raj Films"/>
              <i n="[1].[studio].&amp;[Zee Studios]" c="Zee Studios"/>
              <i n="[1].[studio].&amp;" c="(blank)"/>
            </range>
          </ranges>
        </level>
      </levels>
      <selections count="2">
        <selection n="[1].[studio].&amp;[Castle Rock Entertainment]"/>
        <selection n="[1].[studio].&amp;[Columbia Pictur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74B00128-C062-45C9-89E5-6969CA89AE0C}" sourceName="[1].[industry]">
  <data>
    <olap pivotCacheId="1035582787">
      <levels count="2">
        <level uniqueName="[1].[industry].[(All)]" sourceCaption="(All)" count="0"/>
        <level uniqueName="[1].[industry].[industry]" sourceCaption="industry" count="3">
          <ranges>
            <range startItem="0">
              <i n="[1].[industry].&amp;[Bollywood]" c="Bollywood"/>
              <i n="[1].[industry].&amp;[Hollywood]" c="Hollywood"/>
              <i n="[1].[industry].&amp;" c="(blank)"/>
            </range>
          </ranges>
        </level>
      </levels>
      <selections count="1">
        <selection n="[1].[industry].&amp;[Bollywood]"/>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io1" xr10:uid="{7D6C5C8F-25C4-4927-99BB-DB5A97AB6F16}" sourceName="[1].[studio]">
  <data>
    <olap pivotCacheId="1035582787">
      <levels count="2">
        <level uniqueName="[1].[studio].[(All)]" sourceCaption="(All)" count="0"/>
        <level uniqueName="[1].[studio].[studio]" sourceCaption="studio" count="26">
          <ranges>
            <range startItem="0">
              <i n="[1].[studio].&amp;[  Vinod Chopra Films]" c="  Vinod Chopra Films"/>
              <i n="[1].[studio].&amp;[ Government of West Bengal]" c=" Government of West Bengal"/>
              <i n="[1].[studio].&amp;[ Marvel Studios]" c=" Marvel Studios"/>
              <i n="[1].[studio].&amp;[ Paramount Pictures]" c=" Paramount Pictures"/>
              <i n="[1].[studio].&amp;[20th Century Fox]" c="20th Century Fox"/>
              <i n="[1].[studio].&amp;[Arka Media Works]" c="Arka Media Works"/>
              <i n="[1].[studio].&amp;[Castle Rock Entertainment]" c="Castle Rock Entertainment"/>
              <i n="[1].[studio].&amp;[Columbia Pictures]" c="Columbia Pictures"/>
              <i n="[1].[studio].&amp;[Dharma Productions]" c="Dharma Productions"/>
              <i n="[1].[studio].&amp;[DVV Entertainment]" c="DVV Entertainment"/>
              <i n="[1].[studio].&amp;[Homabalefilms]" c="Homabalefilms"/>
              <i n="[1].[studio].&amp;[Liberty Films]" c="Liberty Films"/>
              <i n="[1].[studio].&amp;[Marvel Studios]" c="Marvel Studios"/>
              <i n="[1].[studio].&amp;[Mythri Movie Makers]" c="Mythri Movie Makers"/>
              <i n="[1].[studio].&amp;[Others]" c="Others"/>
              <i n="[1].[studio].&amp;[Paramount Pictures]" c="Paramount Pictures"/>
              <i n="[1].[studio].&amp;[Salman Khan Films]" c="Salman Khan Films"/>
              <i n="[1].[studio].&amp;[Syncopy]" c="Syncopy"/>
              <i n="[1].[studio].&amp;[United Producers]" c="United Producers"/>
              <i n="[1].[studio].&amp;[Universal Pictures]" c="Universal Pictures"/>
              <i n="[1].[studio].&amp;[Vinod Chopra Films]" c="Vinod Chopra Films"/>
              <i n="[1].[studio].&amp;[Vinod Chopra Productions]" c="Vinod Chopra Productions"/>
              <i n="[1].[studio].&amp;[Warner Bros. Pictures]" c="Warner Bros. Pictures"/>
              <i n="[1].[studio].&amp;[Yash Raj Films]" c="Yash Raj Films"/>
              <i n="[1].[studio].&amp;[Zee Studios]" c="Zee Studios"/>
              <i n="[1].[studio].&amp;" c="(blank)"/>
            </range>
          </ranges>
        </level>
      </levels>
      <selections count="1">
        <selection n="[1].[studio].[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1" xr10:uid="{C1BEB1AB-30B9-4E01-B2E2-5409D90E430F}" cache="Slicer_industry" caption="industry" level="1" rowHeight="247650"/>
  <slicer name="studio 2" xr10:uid="{FA5225D1-0A75-469D-93A7-C8AA83C925E4}" cache="Slicer_studio1" caption="studio"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io" xr10:uid="{9B8FDB57-7FF3-47A5-90C5-168F66DF4BA8}" cache="Slicer_studio" caption="studio"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4544BCF2-8BD8-4C85-A42E-AF62304F0BB2}" cache="Slicer_industry" caption="industry"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5E35F8-D1F6-40FF-BA44-238349BC38A4}" name="Table5" displayName="Table5" ref="A1:G41" totalsRowShown="0" tableBorderDxfId="8">
  <autoFilter ref="A1:G41" xr:uid="{F05E35F8-D1F6-40FF-BA44-238349BC38A4}"/>
  <tableColumns count="7">
    <tableColumn id="1" xr3:uid="{F3DFCD9E-5014-4D3D-83D7-B3353F2CC4F3}" name="movie_id" dataDxfId="7"/>
    <tableColumn id="2" xr3:uid="{C67E0914-EAAF-4E63-808A-E3C60E524D68}" name="budget" dataDxfId="6"/>
    <tableColumn id="3" xr3:uid="{D37736AC-E9FF-45F4-8AC8-01554ADA3F02}" name="revenue" dataDxfId="5"/>
    <tableColumn id="4" xr3:uid="{534785E1-104C-4383-A31B-E44B2D215160}" name="currency" dataDxfId="4"/>
    <tableColumn id="5" xr3:uid="{7AEACE2C-5733-4CB7-BEC8-69A52A8D3FDD}" name="budget2" dataDxfId="3">
      <calculatedColumnFormula>IF(D2="USD",B2*100,B2)</calculatedColumnFormula>
    </tableColumn>
    <tableColumn id="6" xr3:uid="{9DB34EC6-3F69-4868-8BC0-CB83BD14FE67}" name="currency3" dataDxfId="2">
      <calculatedColumnFormula>IF(D2="USD",C2*100,C2)</calculatedColumnFormula>
    </tableColumn>
    <tableColumn id="7" xr3:uid="{3B4D9F68-2700-4E93-8FD0-C85590635FBF}" name="profit" dataDxfId="1">
      <calculatedColumnFormula>F2-E2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A4433-BD12-4C54-B116-5394C07D34D9}">
  <dimension ref="E3:J9"/>
  <sheetViews>
    <sheetView tabSelected="1" zoomScale="55" zoomScaleNormal="55" workbookViewId="0">
      <selection activeCell="Z33" sqref="Z33"/>
    </sheetView>
  </sheetViews>
  <sheetFormatPr defaultRowHeight="14.4" x14ac:dyDescent="0.3"/>
  <sheetData>
    <row r="3" spans="5:10" ht="21" x14ac:dyDescent="0.4">
      <c r="J3" s="14"/>
    </row>
    <row r="9" spans="5:10" x14ac:dyDescent="0.3">
      <c r="E9" t="e">
        <f>#REF!</f>
        <v>#REF!</v>
      </c>
      <c r="I9"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3733E-B443-4147-958B-DDBFDFCDC3CC}">
  <dimension ref="B3:C44"/>
  <sheetViews>
    <sheetView topLeftCell="A16" zoomScale="85" zoomScaleNormal="85" workbookViewId="0">
      <selection activeCell="H18" sqref="H18"/>
    </sheetView>
  </sheetViews>
  <sheetFormatPr defaultRowHeight="14.4" x14ac:dyDescent="0.3"/>
  <cols>
    <col min="2" max="2" width="12.44140625" bestFit="1" customWidth="1"/>
    <col min="3" max="3" width="15.77734375" bestFit="1" customWidth="1"/>
  </cols>
  <sheetData>
    <row r="3" spans="2:3" x14ac:dyDescent="0.3">
      <c r="B3" s="12" t="s">
        <v>82</v>
      </c>
      <c r="C3" t="s">
        <v>84</v>
      </c>
    </row>
    <row r="4" spans="2:3" x14ac:dyDescent="0.3">
      <c r="B4" s="13">
        <v>101</v>
      </c>
      <c r="C4">
        <v>1</v>
      </c>
    </row>
    <row r="5" spans="2:3" x14ac:dyDescent="0.3">
      <c r="B5" s="13">
        <v>102</v>
      </c>
      <c r="C5">
        <v>1</v>
      </c>
    </row>
    <row r="6" spans="2:3" x14ac:dyDescent="0.3">
      <c r="B6" s="13">
        <v>103</v>
      </c>
      <c r="C6">
        <v>1</v>
      </c>
    </row>
    <row r="7" spans="2:3" x14ac:dyDescent="0.3">
      <c r="B7" s="13">
        <v>104</v>
      </c>
      <c r="C7">
        <v>1</v>
      </c>
    </row>
    <row r="8" spans="2:3" x14ac:dyDescent="0.3">
      <c r="B8" s="13">
        <v>105</v>
      </c>
      <c r="C8">
        <v>1</v>
      </c>
    </row>
    <row r="9" spans="2:3" x14ac:dyDescent="0.3">
      <c r="B9" s="13">
        <v>106</v>
      </c>
      <c r="C9">
        <v>1</v>
      </c>
    </row>
    <row r="10" spans="2:3" x14ac:dyDescent="0.3">
      <c r="B10" s="13">
        <v>107</v>
      </c>
      <c r="C10">
        <v>1</v>
      </c>
    </row>
    <row r="11" spans="2:3" x14ac:dyDescent="0.3">
      <c r="B11" s="13">
        <v>108</v>
      </c>
      <c r="C11">
        <v>1</v>
      </c>
    </row>
    <row r="12" spans="2:3" x14ac:dyDescent="0.3">
      <c r="B12" s="13">
        <v>109</v>
      </c>
      <c r="C12">
        <v>1</v>
      </c>
    </row>
    <row r="13" spans="2:3" x14ac:dyDescent="0.3">
      <c r="B13" s="13">
        <v>110</v>
      </c>
      <c r="C13">
        <v>1</v>
      </c>
    </row>
    <row r="14" spans="2:3" x14ac:dyDescent="0.3">
      <c r="B14" s="13">
        <v>111</v>
      </c>
      <c r="C14">
        <v>1</v>
      </c>
    </row>
    <row r="15" spans="2:3" x14ac:dyDescent="0.3">
      <c r="B15" s="13">
        <v>112</v>
      </c>
      <c r="C15">
        <v>1</v>
      </c>
    </row>
    <row r="16" spans="2:3" x14ac:dyDescent="0.3">
      <c r="B16" s="13">
        <v>113</v>
      </c>
      <c r="C16">
        <v>1</v>
      </c>
    </row>
    <row r="17" spans="2:3" x14ac:dyDescent="0.3">
      <c r="B17" s="13">
        <v>115</v>
      </c>
      <c r="C17">
        <v>1</v>
      </c>
    </row>
    <row r="18" spans="2:3" x14ac:dyDescent="0.3">
      <c r="B18" s="13">
        <v>116</v>
      </c>
      <c r="C18">
        <v>1</v>
      </c>
    </row>
    <row r="19" spans="2:3" x14ac:dyDescent="0.3">
      <c r="B19" s="13">
        <v>117</v>
      </c>
      <c r="C19">
        <v>1</v>
      </c>
    </row>
    <row r="20" spans="2:3" x14ac:dyDescent="0.3">
      <c r="B20" s="13">
        <v>118</v>
      </c>
      <c r="C20">
        <v>1</v>
      </c>
    </row>
    <row r="21" spans="2:3" x14ac:dyDescent="0.3">
      <c r="B21" s="13">
        <v>119</v>
      </c>
      <c r="C21">
        <v>1</v>
      </c>
    </row>
    <row r="22" spans="2:3" x14ac:dyDescent="0.3">
      <c r="B22" s="13">
        <v>120</v>
      </c>
      <c r="C22">
        <v>1</v>
      </c>
    </row>
    <row r="23" spans="2:3" x14ac:dyDescent="0.3">
      <c r="B23" s="13">
        <v>121</v>
      </c>
      <c r="C23">
        <v>1</v>
      </c>
    </row>
    <row r="24" spans="2:3" x14ac:dyDescent="0.3">
      <c r="B24" s="13">
        <v>122</v>
      </c>
      <c r="C24">
        <v>1</v>
      </c>
    </row>
    <row r="25" spans="2:3" x14ac:dyDescent="0.3">
      <c r="B25" s="13">
        <v>123</v>
      </c>
      <c r="C25">
        <v>1</v>
      </c>
    </row>
    <row r="26" spans="2:3" x14ac:dyDescent="0.3">
      <c r="B26" s="13">
        <v>124</v>
      </c>
      <c r="C26">
        <v>1</v>
      </c>
    </row>
    <row r="27" spans="2:3" x14ac:dyDescent="0.3">
      <c r="B27" s="13">
        <v>125</v>
      </c>
      <c r="C27">
        <v>1</v>
      </c>
    </row>
    <row r="28" spans="2:3" x14ac:dyDescent="0.3">
      <c r="B28" s="13">
        <v>126</v>
      </c>
      <c r="C28">
        <v>1</v>
      </c>
    </row>
    <row r="29" spans="2:3" x14ac:dyDescent="0.3">
      <c r="B29" s="13">
        <v>127</v>
      </c>
      <c r="C29">
        <v>1</v>
      </c>
    </row>
    <row r="30" spans="2:3" x14ac:dyDescent="0.3">
      <c r="B30" s="13">
        <v>128</v>
      </c>
      <c r="C30">
        <v>1</v>
      </c>
    </row>
    <row r="31" spans="2:3" x14ac:dyDescent="0.3">
      <c r="B31" s="13">
        <v>129</v>
      </c>
      <c r="C31">
        <v>1</v>
      </c>
    </row>
    <row r="32" spans="2:3" x14ac:dyDescent="0.3">
      <c r="B32" s="13">
        <v>130</v>
      </c>
      <c r="C32">
        <v>1</v>
      </c>
    </row>
    <row r="33" spans="2:3" x14ac:dyDescent="0.3">
      <c r="B33" s="13">
        <v>131</v>
      </c>
      <c r="C33">
        <v>1</v>
      </c>
    </row>
    <row r="34" spans="2:3" x14ac:dyDescent="0.3">
      <c r="B34" s="13">
        <v>132</v>
      </c>
      <c r="C34">
        <v>1</v>
      </c>
    </row>
    <row r="35" spans="2:3" x14ac:dyDescent="0.3">
      <c r="B35" s="13">
        <v>133</v>
      </c>
      <c r="C35">
        <v>1</v>
      </c>
    </row>
    <row r="36" spans="2:3" x14ac:dyDescent="0.3">
      <c r="B36" s="13">
        <v>134</v>
      </c>
      <c r="C36">
        <v>1</v>
      </c>
    </row>
    <row r="37" spans="2:3" x14ac:dyDescent="0.3">
      <c r="B37" s="13">
        <v>135</v>
      </c>
      <c r="C37">
        <v>1</v>
      </c>
    </row>
    <row r="38" spans="2:3" x14ac:dyDescent="0.3">
      <c r="B38" s="13">
        <v>136</v>
      </c>
      <c r="C38">
        <v>1</v>
      </c>
    </row>
    <row r="39" spans="2:3" x14ac:dyDescent="0.3">
      <c r="B39" s="13">
        <v>137</v>
      </c>
      <c r="C39">
        <v>1</v>
      </c>
    </row>
    <row r="40" spans="2:3" x14ac:dyDescent="0.3">
      <c r="B40" s="13">
        <v>138</v>
      </c>
      <c r="C40">
        <v>1</v>
      </c>
    </row>
    <row r="41" spans="2:3" x14ac:dyDescent="0.3">
      <c r="B41" s="13">
        <v>139</v>
      </c>
      <c r="C41">
        <v>1</v>
      </c>
    </row>
    <row r="42" spans="2:3" x14ac:dyDescent="0.3">
      <c r="B42" s="13">
        <v>140</v>
      </c>
      <c r="C42">
        <v>1</v>
      </c>
    </row>
    <row r="43" spans="2:3" x14ac:dyDescent="0.3">
      <c r="B43" s="13" t="s">
        <v>83</v>
      </c>
      <c r="C43">
        <v>39</v>
      </c>
    </row>
    <row r="44" spans="2:3" x14ac:dyDescent="0.3">
      <c r="C44">
        <f>GETPIVOTDATA("[Measures].[Count of movie_id]",$B$3)</f>
        <v>39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C7252-FB65-43FE-8509-A7B965631265}">
  <dimension ref="A3:B23"/>
  <sheetViews>
    <sheetView workbookViewId="0">
      <selection activeCell="B23" sqref="B23"/>
    </sheetView>
  </sheetViews>
  <sheetFormatPr defaultRowHeight="14.4" x14ac:dyDescent="0.3"/>
  <cols>
    <col min="1" max="1" width="24.33203125" bestFit="1" customWidth="1"/>
    <col min="2" max="2" width="13.44140625" bestFit="1" customWidth="1"/>
  </cols>
  <sheetData>
    <row r="3" spans="1:2" x14ac:dyDescent="0.3">
      <c r="A3" s="12" t="s">
        <v>82</v>
      </c>
      <c r="B3" t="s">
        <v>85</v>
      </c>
    </row>
    <row r="4" spans="1:2" x14ac:dyDescent="0.3">
      <c r="A4" s="13" t="s">
        <v>58</v>
      </c>
      <c r="B4">
        <v>1</v>
      </c>
    </row>
    <row r="5" spans="1:2" x14ac:dyDescent="0.3">
      <c r="A5" s="13" t="s">
        <v>20</v>
      </c>
      <c r="B5">
        <v>1</v>
      </c>
    </row>
    <row r="6" spans="1:2" x14ac:dyDescent="0.3">
      <c r="A6" s="13" t="s">
        <v>48</v>
      </c>
      <c r="B6">
        <v>1</v>
      </c>
    </row>
    <row r="7" spans="1:2" x14ac:dyDescent="0.3">
      <c r="A7" s="13" t="s">
        <v>46</v>
      </c>
      <c r="B7">
        <v>1</v>
      </c>
    </row>
    <row r="8" spans="1:2" x14ac:dyDescent="0.3">
      <c r="A8" s="13" t="s">
        <v>70</v>
      </c>
      <c r="B8">
        <v>1</v>
      </c>
    </row>
    <row r="9" spans="1:2" x14ac:dyDescent="0.3">
      <c r="A9" s="13" t="s">
        <v>33</v>
      </c>
      <c r="B9">
        <v>1</v>
      </c>
    </row>
    <row r="10" spans="1:2" x14ac:dyDescent="0.3">
      <c r="A10" s="13" t="s">
        <v>38</v>
      </c>
      <c r="B10">
        <v>1</v>
      </c>
    </row>
    <row r="11" spans="1:2" x14ac:dyDescent="0.3">
      <c r="A11" s="13" t="s">
        <v>29</v>
      </c>
      <c r="B11">
        <v>2</v>
      </c>
    </row>
    <row r="12" spans="1:2" x14ac:dyDescent="0.3">
      <c r="A12" s="13" t="s">
        <v>68</v>
      </c>
      <c r="B12">
        <v>1</v>
      </c>
    </row>
    <row r="13" spans="1:2" x14ac:dyDescent="0.3">
      <c r="A13" s="13" t="s">
        <v>14</v>
      </c>
      <c r="B13">
        <v>1</v>
      </c>
    </row>
    <row r="14" spans="1:2" x14ac:dyDescent="0.3">
      <c r="A14" s="13" t="s">
        <v>66</v>
      </c>
      <c r="B14">
        <v>1</v>
      </c>
    </row>
    <row r="15" spans="1:2" x14ac:dyDescent="0.3">
      <c r="A15" s="13" t="s">
        <v>23</v>
      </c>
      <c r="B15">
        <v>1</v>
      </c>
    </row>
    <row r="16" spans="1:2" x14ac:dyDescent="0.3">
      <c r="A16" s="13" t="s">
        <v>52</v>
      </c>
      <c r="B16">
        <v>2</v>
      </c>
    </row>
    <row r="17" spans="1:2" x14ac:dyDescent="0.3">
      <c r="A17" s="13" t="s">
        <v>63</v>
      </c>
      <c r="B17">
        <v>2</v>
      </c>
    </row>
    <row r="18" spans="1:2" x14ac:dyDescent="0.3">
      <c r="A18" s="13" t="s">
        <v>61</v>
      </c>
      <c r="B18">
        <v>1</v>
      </c>
    </row>
    <row r="19" spans="1:2" x14ac:dyDescent="0.3">
      <c r="A19" s="13" t="s">
        <v>35</v>
      </c>
      <c r="B19">
        <v>2</v>
      </c>
    </row>
    <row r="20" spans="1:2" x14ac:dyDescent="0.3">
      <c r="A20" s="13" t="s">
        <v>25</v>
      </c>
      <c r="B20">
        <v>1</v>
      </c>
    </row>
    <row r="21" spans="1:2" x14ac:dyDescent="0.3">
      <c r="A21" s="13" t="s">
        <v>72</v>
      </c>
      <c r="B21">
        <v>1</v>
      </c>
    </row>
    <row r="22" spans="1:2" x14ac:dyDescent="0.3">
      <c r="A22" s="13" t="s">
        <v>83</v>
      </c>
      <c r="B22">
        <v>22</v>
      </c>
    </row>
    <row r="23" spans="1:2" x14ac:dyDescent="0.3">
      <c r="B23">
        <f>GETPIVOTDATA("studio",$A$3)</f>
        <v>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83896-FE3C-4981-AFC9-5C743F7FA208}">
  <dimension ref="A3:B7"/>
  <sheetViews>
    <sheetView workbookViewId="0">
      <selection activeCell="B3" sqref="B3"/>
    </sheetView>
  </sheetViews>
  <sheetFormatPr defaultRowHeight="14.4" x14ac:dyDescent="0.3"/>
  <cols>
    <col min="1" max="1" width="12.44140625" bestFit="1" customWidth="1"/>
    <col min="2" max="2" width="22.109375" bestFit="1" customWidth="1"/>
  </cols>
  <sheetData>
    <row r="3" spans="1:2" x14ac:dyDescent="0.3">
      <c r="A3" s="12" t="s">
        <v>82</v>
      </c>
      <c r="B3" t="s">
        <v>87</v>
      </c>
    </row>
    <row r="4" spans="1:2" x14ac:dyDescent="0.3">
      <c r="A4" s="13" t="s">
        <v>13</v>
      </c>
      <c r="B4">
        <v>1</v>
      </c>
    </row>
    <row r="5" spans="1:2" x14ac:dyDescent="0.3">
      <c r="A5" s="13" t="s">
        <v>16</v>
      </c>
      <c r="B5">
        <v>1</v>
      </c>
    </row>
    <row r="6" spans="1:2" x14ac:dyDescent="0.3">
      <c r="A6" s="13" t="s">
        <v>83</v>
      </c>
      <c r="B6">
        <v>2</v>
      </c>
    </row>
    <row r="7" spans="1:2" x14ac:dyDescent="0.3">
      <c r="B7">
        <f>GETPIVOTDATA("[Measures].[Distinct Count of industry]",$A$3)</f>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1D13D-6D81-4726-8C05-C8DDB05B545E}">
  <dimension ref="A3:B27"/>
  <sheetViews>
    <sheetView workbookViewId="0">
      <selection activeCell="B27" sqref="B27"/>
    </sheetView>
  </sheetViews>
  <sheetFormatPr defaultRowHeight="14.4" x14ac:dyDescent="0.3"/>
  <cols>
    <col min="1" max="1" width="23.6640625" bestFit="1" customWidth="1"/>
    <col min="2" max="2" width="20.44140625" bestFit="1" customWidth="1"/>
  </cols>
  <sheetData>
    <row r="3" spans="1:2" x14ac:dyDescent="0.3">
      <c r="A3" s="12" t="s">
        <v>82</v>
      </c>
      <c r="B3" t="s">
        <v>89</v>
      </c>
    </row>
    <row r="4" spans="1:2" x14ac:dyDescent="0.3">
      <c r="A4" s="13" t="s">
        <v>88</v>
      </c>
      <c r="B4">
        <v>1</v>
      </c>
    </row>
    <row r="5" spans="1:2" x14ac:dyDescent="0.3">
      <c r="A5" s="13" t="s">
        <v>20</v>
      </c>
      <c r="B5">
        <v>1</v>
      </c>
    </row>
    <row r="6" spans="1:2" x14ac:dyDescent="0.3">
      <c r="A6" s="13" t="s">
        <v>48</v>
      </c>
      <c r="B6">
        <v>1</v>
      </c>
    </row>
    <row r="7" spans="1:2" x14ac:dyDescent="0.3">
      <c r="A7" s="13" t="s">
        <v>46</v>
      </c>
      <c r="B7">
        <v>1</v>
      </c>
    </row>
    <row r="8" spans="1:2" x14ac:dyDescent="0.3">
      <c r="A8" s="13" t="s">
        <v>70</v>
      </c>
      <c r="B8">
        <v>1</v>
      </c>
    </row>
    <row r="9" spans="1:2" x14ac:dyDescent="0.3">
      <c r="A9" s="13" t="s">
        <v>33</v>
      </c>
      <c r="B9">
        <v>1</v>
      </c>
    </row>
    <row r="10" spans="1:2" x14ac:dyDescent="0.3">
      <c r="A10" s="13" t="s">
        <v>38</v>
      </c>
      <c r="B10">
        <v>1</v>
      </c>
    </row>
    <row r="11" spans="1:2" x14ac:dyDescent="0.3">
      <c r="A11" s="13" t="s">
        <v>29</v>
      </c>
      <c r="B11">
        <v>1</v>
      </c>
    </row>
    <row r="12" spans="1:2" x14ac:dyDescent="0.3">
      <c r="A12" s="13" t="s">
        <v>68</v>
      </c>
      <c r="B12">
        <v>1</v>
      </c>
    </row>
    <row r="13" spans="1:2" x14ac:dyDescent="0.3">
      <c r="A13" s="13" t="s">
        <v>14</v>
      </c>
      <c r="B13">
        <v>1</v>
      </c>
    </row>
    <row r="14" spans="1:2" x14ac:dyDescent="0.3">
      <c r="A14" s="13" t="s">
        <v>44</v>
      </c>
      <c r="B14">
        <v>1</v>
      </c>
    </row>
    <row r="15" spans="1:2" x14ac:dyDescent="0.3">
      <c r="A15" s="13" t="s">
        <v>66</v>
      </c>
      <c r="B15">
        <v>1</v>
      </c>
    </row>
    <row r="16" spans="1:2" x14ac:dyDescent="0.3">
      <c r="A16" s="13" t="s">
        <v>31</v>
      </c>
      <c r="B16">
        <v>1</v>
      </c>
    </row>
    <row r="17" spans="1:2" x14ac:dyDescent="0.3">
      <c r="A17" s="13" t="s">
        <v>74</v>
      </c>
      <c r="B17">
        <v>1</v>
      </c>
    </row>
    <row r="18" spans="1:2" x14ac:dyDescent="0.3">
      <c r="A18" s="13" t="s">
        <v>50</v>
      </c>
      <c r="B18">
        <v>1</v>
      </c>
    </row>
    <row r="19" spans="1:2" x14ac:dyDescent="0.3">
      <c r="A19" s="13" t="s">
        <v>23</v>
      </c>
      <c r="B19">
        <v>1</v>
      </c>
    </row>
    <row r="20" spans="1:2" x14ac:dyDescent="0.3">
      <c r="A20" s="13" t="s">
        <v>52</v>
      </c>
      <c r="B20">
        <v>1</v>
      </c>
    </row>
    <row r="21" spans="1:2" x14ac:dyDescent="0.3">
      <c r="A21" s="13" t="s">
        <v>63</v>
      </c>
      <c r="B21">
        <v>1</v>
      </c>
    </row>
    <row r="22" spans="1:2" x14ac:dyDescent="0.3">
      <c r="A22" s="13" t="s">
        <v>61</v>
      </c>
      <c r="B22">
        <v>1</v>
      </c>
    </row>
    <row r="23" spans="1:2" x14ac:dyDescent="0.3">
      <c r="A23" s="13" t="s">
        <v>35</v>
      </c>
      <c r="B23">
        <v>1</v>
      </c>
    </row>
    <row r="24" spans="1:2" x14ac:dyDescent="0.3">
      <c r="A24" s="13" t="s">
        <v>25</v>
      </c>
      <c r="B24">
        <v>1</v>
      </c>
    </row>
    <row r="25" spans="1:2" x14ac:dyDescent="0.3">
      <c r="A25" s="13" t="s">
        <v>72</v>
      </c>
      <c r="B25">
        <v>1</v>
      </c>
    </row>
    <row r="26" spans="1:2" x14ac:dyDescent="0.3">
      <c r="A26" s="13" t="s">
        <v>83</v>
      </c>
      <c r="B26">
        <v>22</v>
      </c>
    </row>
    <row r="27" spans="1:2" x14ac:dyDescent="0.3">
      <c r="B27">
        <f>GETPIVOTDATA("[Measures].[Distinct Count of studio]",$A$3)</f>
        <v>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88583-5C14-40F2-82E1-F35D01EA66F8}">
  <dimension ref="A3:B45"/>
  <sheetViews>
    <sheetView topLeftCell="A31" workbookViewId="0">
      <selection activeCell="N21" sqref="N21"/>
    </sheetView>
  </sheetViews>
  <sheetFormatPr defaultRowHeight="14.4" x14ac:dyDescent="0.3"/>
  <cols>
    <col min="1" max="1" width="12.44140625" bestFit="1" customWidth="1"/>
    <col min="2" max="2" width="11.5546875" bestFit="1" customWidth="1"/>
    <col min="3" max="3" width="14.6640625" bestFit="1" customWidth="1"/>
  </cols>
  <sheetData>
    <row r="3" spans="1:2" x14ac:dyDescent="0.3">
      <c r="A3" s="12" t="s">
        <v>82</v>
      </c>
      <c r="B3" t="s">
        <v>86</v>
      </c>
    </row>
    <row r="4" spans="1:2" x14ac:dyDescent="0.3">
      <c r="A4" s="13">
        <v>1.3</v>
      </c>
      <c r="B4">
        <v>1.3</v>
      </c>
    </row>
    <row r="5" spans="1:2" x14ac:dyDescent="0.3">
      <c r="A5" s="13">
        <v>1.6</v>
      </c>
      <c r="B5">
        <v>1.6</v>
      </c>
    </row>
    <row r="6" spans="1:2" x14ac:dyDescent="0.3">
      <c r="A6" s="13">
        <v>2.1</v>
      </c>
      <c r="B6">
        <v>2.1</v>
      </c>
    </row>
    <row r="7" spans="1:2" x14ac:dyDescent="0.3">
      <c r="A7" s="13">
        <v>4.7</v>
      </c>
      <c r="B7">
        <v>4.7</v>
      </c>
    </row>
    <row r="8" spans="1:2" x14ac:dyDescent="0.3">
      <c r="A8" s="13">
        <v>4.9000000000000004</v>
      </c>
      <c r="B8">
        <v>4.9000000000000004</v>
      </c>
    </row>
    <row r="9" spans="1:2" x14ac:dyDescent="0.3">
      <c r="A9" s="13">
        <v>6.5</v>
      </c>
      <c r="B9">
        <v>6.5</v>
      </c>
    </row>
    <row r="10" spans="1:2" x14ac:dyDescent="0.3">
      <c r="A10" s="13">
        <v>11.5</v>
      </c>
      <c r="B10">
        <v>11.5</v>
      </c>
    </row>
    <row r="11" spans="1:2" x14ac:dyDescent="0.3">
      <c r="A11" s="13">
        <v>12</v>
      </c>
      <c r="B11">
        <v>12</v>
      </c>
    </row>
    <row r="12" spans="1:2" x14ac:dyDescent="0.3">
      <c r="A12" s="13">
        <v>30</v>
      </c>
      <c r="B12">
        <v>30</v>
      </c>
    </row>
    <row r="13" spans="1:2" x14ac:dyDescent="0.3">
      <c r="A13" s="13">
        <v>310</v>
      </c>
      <c r="B13">
        <v>310</v>
      </c>
    </row>
    <row r="14" spans="1:2" x14ac:dyDescent="0.3">
      <c r="A14" s="13">
        <v>320</v>
      </c>
      <c r="B14">
        <v>320</v>
      </c>
    </row>
    <row r="15" spans="1:2" x14ac:dyDescent="0.3">
      <c r="A15" s="13">
        <v>450</v>
      </c>
      <c r="B15">
        <v>450</v>
      </c>
    </row>
    <row r="16" spans="1:2" x14ac:dyDescent="0.3">
      <c r="A16" s="13">
        <v>970</v>
      </c>
      <c r="B16">
        <v>970</v>
      </c>
    </row>
    <row r="17" spans="1:2" x14ac:dyDescent="0.3">
      <c r="A17" s="13">
        <v>1230</v>
      </c>
      <c r="B17">
        <v>1230</v>
      </c>
    </row>
    <row r="18" spans="1:2" x14ac:dyDescent="0.3">
      <c r="A18" s="13">
        <v>1600</v>
      </c>
      <c r="B18">
        <v>1600</v>
      </c>
    </row>
    <row r="19" spans="1:2" x14ac:dyDescent="0.3">
      <c r="A19" s="13">
        <v>3159</v>
      </c>
      <c r="B19">
        <v>3159</v>
      </c>
    </row>
    <row r="20" spans="1:2" x14ac:dyDescent="0.3">
      <c r="A20" s="13">
        <v>3450</v>
      </c>
      <c r="B20">
        <v>3450</v>
      </c>
    </row>
    <row r="21" spans="1:2" x14ac:dyDescent="0.3">
      <c r="A21" s="13">
        <v>4830</v>
      </c>
      <c r="B21">
        <v>4830</v>
      </c>
    </row>
    <row r="22" spans="1:2" x14ac:dyDescent="0.3">
      <c r="A22" s="13">
        <v>7690</v>
      </c>
      <c r="B22">
        <v>7690</v>
      </c>
    </row>
    <row r="23" spans="1:2" x14ac:dyDescent="0.3">
      <c r="A23" s="13">
        <v>10790</v>
      </c>
      <c r="B23">
        <v>10790</v>
      </c>
    </row>
    <row r="24" spans="1:2" x14ac:dyDescent="0.3">
      <c r="A24" s="13">
        <v>15390</v>
      </c>
      <c r="B24">
        <v>15390</v>
      </c>
    </row>
    <row r="25" spans="1:2" x14ac:dyDescent="0.3">
      <c r="A25" s="13">
        <v>16030</v>
      </c>
      <c r="B25">
        <v>16030</v>
      </c>
    </row>
    <row r="26" spans="1:2" x14ac:dyDescent="0.3">
      <c r="A26" s="13">
        <v>24760.000000000004</v>
      </c>
      <c r="B26">
        <v>24760.000000000004</v>
      </c>
    </row>
    <row r="27" spans="1:2" x14ac:dyDescent="0.3">
      <c r="A27" s="13">
        <v>25210.000000000004</v>
      </c>
      <c r="B27">
        <v>25210.000000000004</v>
      </c>
    </row>
    <row r="28" spans="1:2" x14ac:dyDescent="0.3">
      <c r="A28" s="13">
        <v>28380</v>
      </c>
      <c r="B28">
        <v>28380</v>
      </c>
    </row>
    <row r="29" spans="1:2" x14ac:dyDescent="0.3">
      <c r="A29" s="13">
        <v>30020</v>
      </c>
      <c r="B29">
        <v>30020</v>
      </c>
    </row>
    <row r="30" spans="1:2" x14ac:dyDescent="0.3">
      <c r="A30" s="13">
        <v>35750</v>
      </c>
      <c r="B30">
        <v>35750</v>
      </c>
    </row>
    <row r="31" spans="1:2" x14ac:dyDescent="0.3">
      <c r="A31" s="13">
        <v>42000</v>
      </c>
      <c r="B31">
        <v>42000</v>
      </c>
    </row>
    <row r="32" spans="1:2" x14ac:dyDescent="0.3">
      <c r="A32" s="13">
        <v>47979.999999999993</v>
      </c>
      <c r="B32">
        <v>47979.999999999993</v>
      </c>
    </row>
    <row r="33" spans="1:2" x14ac:dyDescent="0.3">
      <c r="A33" s="13">
        <v>53680</v>
      </c>
      <c r="B33">
        <v>53680</v>
      </c>
    </row>
    <row r="34" spans="1:2" x14ac:dyDescent="0.3">
      <c r="A34" s="13">
        <v>53740</v>
      </c>
      <c r="B34">
        <v>53740</v>
      </c>
    </row>
    <row r="35" spans="1:2" x14ac:dyDescent="0.3">
      <c r="A35" s="13">
        <v>67400</v>
      </c>
      <c r="B35">
        <v>67400</v>
      </c>
    </row>
    <row r="36" spans="1:2" x14ac:dyDescent="0.3">
      <c r="A36" s="13">
        <v>67680</v>
      </c>
      <c r="B36">
        <v>67680</v>
      </c>
    </row>
    <row r="37" spans="1:2" x14ac:dyDescent="0.3">
      <c r="A37" s="13">
        <v>75480</v>
      </c>
      <c r="B37">
        <v>75480</v>
      </c>
    </row>
    <row r="38" spans="1:2" x14ac:dyDescent="0.3">
      <c r="A38" s="13">
        <v>82100</v>
      </c>
      <c r="B38">
        <v>82100</v>
      </c>
    </row>
    <row r="39" spans="1:2" x14ac:dyDescent="0.3">
      <c r="A39" s="13">
        <v>98300</v>
      </c>
      <c r="B39">
        <v>98300</v>
      </c>
    </row>
    <row r="40" spans="1:2" x14ac:dyDescent="0.3">
      <c r="A40" s="13">
        <v>164800</v>
      </c>
      <c r="B40">
        <v>164800</v>
      </c>
    </row>
    <row r="41" spans="1:2" x14ac:dyDescent="0.3">
      <c r="A41" s="13">
        <v>200200</v>
      </c>
      <c r="B41">
        <v>200200</v>
      </c>
    </row>
    <row r="42" spans="1:2" x14ac:dyDescent="0.3">
      <c r="A42" s="13">
        <v>239800</v>
      </c>
      <c r="B42">
        <v>239800</v>
      </c>
    </row>
    <row r="43" spans="1:2" x14ac:dyDescent="0.3">
      <c r="A43" s="13">
        <v>261000</v>
      </c>
      <c r="B43">
        <v>261000</v>
      </c>
    </row>
    <row r="44" spans="1:2" x14ac:dyDescent="0.3">
      <c r="A44" s="13" t="s">
        <v>83</v>
      </c>
      <c r="B44">
        <v>1664573.6</v>
      </c>
    </row>
    <row r="45" spans="1:2" x14ac:dyDescent="0.3">
      <c r="B45">
        <f>GETPIVOTDATA("profit",$A$3)</f>
        <v>1664573.6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468AA-C429-4D83-9C0D-458807240DDB}">
  <dimension ref="A1:G41"/>
  <sheetViews>
    <sheetView topLeftCell="A16" workbookViewId="0">
      <selection activeCell="E5" sqref="E5"/>
    </sheetView>
  </sheetViews>
  <sheetFormatPr defaultRowHeight="14.4" x14ac:dyDescent="0.3"/>
  <cols>
    <col min="1" max="1" width="10.44140625" customWidth="1"/>
    <col min="3" max="3" width="9.44140625" customWidth="1"/>
    <col min="4" max="4" width="10.109375" customWidth="1"/>
    <col min="5" max="5" width="9.6640625" customWidth="1"/>
    <col min="6" max="6" width="11.109375" customWidth="1"/>
  </cols>
  <sheetData>
    <row r="1" spans="1:7" x14ac:dyDescent="0.3">
      <c r="A1" s="10" t="s">
        <v>0</v>
      </c>
      <c r="B1" s="1" t="s">
        <v>1</v>
      </c>
      <c r="C1" s="1" t="s">
        <v>2</v>
      </c>
      <c r="D1" s="1" t="s">
        <v>3</v>
      </c>
      <c r="E1" s="2" t="s">
        <v>80</v>
      </c>
      <c r="F1" s="3" t="s">
        <v>81</v>
      </c>
      <c r="G1" s="11" t="s">
        <v>4</v>
      </c>
    </row>
    <row r="2" spans="1:7" x14ac:dyDescent="0.3">
      <c r="A2" s="5">
        <v>101</v>
      </c>
      <c r="B2" s="2">
        <v>1</v>
      </c>
      <c r="C2" s="2">
        <v>12.5</v>
      </c>
      <c r="D2" s="2" t="s">
        <v>5</v>
      </c>
      <c r="E2" s="2">
        <f>IF(D2="USD",B2*100,B2)</f>
        <v>1</v>
      </c>
      <c r="F2" s="2">
        <f>IF(D2="USD",C2*100,C2)</f>
        <v>12.5</v>
      </c>
      <c r="G2" s="6">
        <f>F2-E2</f>
        <v>11.5</v>
      </c>
    </row>
    <row r="3" spans="1:7" x14ac:dyDescent="0.3">
      <c r="A3" s="5">
        <v>102</v>
      </c>
      <c r="B3" s="2">
        <v>200</v>
      </c>
      <c r="C3" s="2">
        <v>954.8</v>
      </c>
      <c r="D3" s="2" t="s">
        <v>6</v>
      </c>
      <c r="E3" s="2">
        <f t="shared" ref="E3:E41" si="0">IF(D3="USD",B3*100,B3)</f>
        <v>20000</v>
      </c>
      <c r="F3" s="2">
        <f t="shared" ref="F3:F41" si="1">IF(D3="USD",C3*100,C3)</f>
        <v>95480</v>
      </c>
      <c r="G3" s="6">
        <f t="shared" ref="G3:G41" si="2">F3-E3</f>
        <v>75480</v>
      </c>
    </row>
    <row r="4" spans="1:7" x14ac:dyDescent="0.3">
      <c r="A4" s="5">
        <v>103</v>
      </c>
      <c r="B4" s="2">
        <v>165</v>
      </c>
      <c r="C4" s="2">
        <v>644.79999999999995</v>
      </c>
      <c r="D4" s="2" t="s">
        <v>6</v>
      </c>
      <c r="E4" s="2">
        <f t="shared" si="0"/>
        <v>16500</v>
      </c>
      <c r="F4" s="2">
        <f t="shared" si="1"/>
        <v>64479.999999999993</v>
      </c>
      <c r="G4" s="6">
        <f t="shared" si="2"/>
        <v>47979.999999999993</v>
      </c>
    </row>
    <row r="5" spans="1:7" x14ac:dyDescent="0.3">
      <c r="A5" s="5">
        <v>104</v>
      </c>
      <c r="B5" s="2">
        <v>180</v>
      </c>
      <c r="C5" s="2">
        <v>854</v>
      </c>
      <c r="D5" s="2" t="s">
        <v>6</v>
      </c>
      <c r="E5" s="2">
        <f t="shared" si="0"/>
        <v>18000</v>
      </c>
      <c r="F5" s="2">
        <f t="shared" si="1"/>
        <v>85400</v>
      </c>
      <c r="G5" s="6">
        <f t="shared" si="2"/>
        <v>67400</v>
      </c>
    </row>
    <row r="6" spans="1:7" x14ac:dyDescent="0.3">
      <c r="A6" s="5">
        <v>105</v>
      </c>
      <c r="B6" s="2">
        <v>250</v>
      </c>
      <c r="C6" s="2">
        <v>670</v>
      </c>
      <c r="D6" s="2" t="s">
        <v>6</v>
      </c>
      <c r="E6" s="2">
        <f t="shared" si="0"/>
        <v>25000</v>
      </c>
      <c r="F6" s="2">
        <f t="shared" si="1"/>
        <v>67000</v>
      </c>
      <c r="G6" s="6">
        <f t="shared" si="2"/>
        <v>42000</v>
      </c>
    </row>
    <row r="7" spans="1:7" x14ac:dyDescent="0.3">
      <c r="A7" s="5">
        <v>107</v>
      </c>
      <c r="B7" s="2">
        <v>400</v>
      </c>
      <c r="C7" s="2">
        <v>2000</v>
      </c>
      <c r="D7" s="2" t="s">
        <v>5</v>
      </c>
      <c r="E7" s="2">
        <f t="shared" si="0"/>
        <v>400</v>
      </c>
      <c r="F7" s="2">
        <f t="shared" si="1"/>
        <v>2000</v>
      </c>
      <c r="G7" s="6">
        <f t="shared" si="2"/>
        <v>1600</v>
      </c>
    </row>
    <row r="8" spans="1:7" x14ac:dyDescent="0.3">
      <c r="A8" s="5">
        <v>108</v>
      </c>
      <c r="B8" s="2">
        <v>550</v>
      </c>
      <c r="C8" s="2">
        <v>4000</v>
      </c>
      <c r="D8" s="2" t="s">
        <v>5</v>
      </c>
      <c r="E8" s="2">
        <f t="shared" si="0"/>
        <v>550</v>
      </c>
      <c r="F8" s="2">
        <f t="shared" si="1"/>
        <v>4000</v>
      </c>
      <c r="G8" s="6">
        <f t="shared" si="2"/>
        <v>3450</v>
      </c>
    </row>
    <row r="9" spans="1:7" x14ac:dyDescent="0.3">
      <c r="A9" s="5">
        <v>109</v>
      </c>
      <c r="B9" s="2">
        <v>390</v>
      </c>
      <c r="C9" s="2">
        <v>1360</v>
      </c>
      <c r="D9" s="2" t="s">
        <v>5</v>
      </c>
      <c r="E9" s="2">
        <f t="shared" si="0"/>
        <v>390</v>
      </c>
      <c r="F9" s="2">
        <f t="shared" si="1"/>
        <v>1360</v>
      </c>
      <c r="G9" s="6">
        <f t="shared" si="2"/>
        <v>970</v>
      </c>
    </row>
    <row r="10" spans="1:7" x14ac:dyDescent="0.3">
      <c r="A10" s="5">
        <v>110</v>
      </c>
      <c r="B10" s="2">
        <v>1.4</v>
      </c>
      <c r="C10" s="2">
        <v>3.5</v>
      </c>
      <c r="D10" s="2" t="s">
        <v>5</v>
      </c>
      <c r="E10" s="2">
        <f t="shared" si="0"/>
        <v>1.4</v>
      </c>
      <c r="F10" s="2">
        <f t="shared" si="1"/>
        <v>3.5</v>
      </c>
      <c r="G10" s="6">
        <f t="shared" si="2"/>
        <v>2.1</v>
      </c>
    </row>
    <row r="11" spans="1:7" x14ac:dyDescent="0.3">
      <c r="A11" s="5">
        <v>111</v>
      </c>
      <c r="B11" s="2">
        <v>25</v>
      </c>
      <c r="C11" s="2">
        <v>73.3</v>
      </c>
      <c r="D11" s="2" t="s">
        <v>6</v>
      </c>
      <c r="E11" s="2">
        <f t="shared" si="0"/>
        <v>2500</v>
      </c>
      <c r="F11" s="2">
        <f t="shared" si="1"/>
        <v>7330</v>
      </c>
      <c r="G11" s="6">
        <f t="shared" si="2"/>
        <v>4830</v>
      </c>
    </row>
    <row r="12" spans="1:7" x14ac:dyDescent="0.3">
      <c r="A12" s="5">
        <v>113</v>
      </c>
      <c r="B12" s="2">
        <v>165</v>
      </c>
      <c r="C12" s="2">
        <v>701.8</v>
      </c>
      <c r="D12" s="2" t="s">
        <v>6</v>
      </c>
      <c r="E12" s="2">
        <f t="shared" si="0"/>
        <v>16500</v>
      </c>
      <c r="F12" s="2">
        <f t="shared" si="1"/>
        <v>70180</v>
      </c>
      <c r="G12" s="6">
        <f t="shared" si="2"/>
        <v>53680</v>
      </c>
    </row>
    <row r="13" spans="1:7" x14ac:dyDescent="0.3">
      <c r="A13" s="5">
        <v>114</v>
      </c>
      <c r="B13" s="2">
        <v>205</v>
      </c>
      <c r="C13" s="2">
        <v>365.3</v>
      </c>
      <c r="D13" s="2" t="s">
        <v>6</v>
      </c>
      <c r="E13" s="2">
        <f t="shared" si="0"/>
        <v>20500</v>
      </c>
      <c r="F13" s="2">
        <f t="shared" si="1"/>
        <v>36530</v>
      </c>
      <c r="G13" s="6">
        <f t="shared" si="2"/>
        <v>16030</v>
      </c>
    </row>
    <row r="14" spans="1:7" x14ac:dyDescent="0.3">
      <c r="A14" s="5">
        <v>115</v>
      </c>
      <c r="B14" s="2">
        <v>55</v>
      </c>
      <c r="C14" s="2">
        <v>307.10000000000002</v>
      </c>
      <c r="D14" s="2" t="s">
        <v>6</v>
      </c>
      <c r="E14" s="2">
        <f t="shared" si="0"/>
        <v>5500</v>
      </c>
      <c r="F14" s="2">
        <f t="shared" si="1"/>
        <v>30710.000000000004</v>
      </c>
      <c r="G14" s="6">
        <f t="shared" si="2"/>
        <v>25210.000000000004</v>
      </c>
    </row>
    <row r="15" spans="1:7" x14ac:dyDescent="0.3">
      <c r="A15" s="5">
        <v>116</v>
      </c>
      <c r="B15" s="2">
        <v>103</v>
      </c>
      <c r="C15" s="2">
        <v>460.5</v>
      </c>
      <c r="D15" s="2" t="s">
        <v>6</v>
      </c>
      <c r="E15" s="2">
        <f t="shared" si="0"/>
        <v>10300</v>
      </c>
      <c r="F15" s="2">
        <f t="shared" si="1"/>
        <v>46050</v>
      </c>
      <c r="G15" s="6">
        <f t="shared" si="2"/>
        <v>35750</v>
      </c>
    </row>
    <row r="16" spans="1:7" x14ac:dyDescent="0.3">
      <c r="A16" s="5">
        <v>117</v>
      </c>
      <c r="B16" s="2">
        <v>200</v>
      </c>
      <c r="C16" s="2">
        <v>2202</v>
      </c>
      <c r="D16" s="2" t="s">
        <v>6</v>
      </c>
      <c r="E16" s="2">
        <f t="shared" si="0"/>
        <v>20000</v>
      </c>
      <c r="F16" s="2">
        <f t="shared" si="1"/>
        <v>220200</v>
      </c>
      <c r="G16" s="6">
        <f t="shared" si="2"/>
        <v>200200</v>
      </c>
    </row>
    <row r="17" spans="1:7" x14ac:dyDescent="0.3">
      <c r="A17" s="5">
        <v>118</v>
      </c>
      <c r="B17" s="2">
        <v>3.18</v>
      </c>
      <c r="C17" s="2">
        <v>3.3</v>
      </c>
      <c r="D17" s="2" t="s">
        <v>6</v>
      </c>
      <c r="E17" s="2">
        <f t="shared" si="0"/>
        <v>318</v>
      </c>
      <c r="F17" s="2">
        <f t="shared" si="1"/>
        <v>330</v>
      </c>
      <c r="G17" s="6">
        <f t="shared" si="2"/>
        <v>12</v>
      </c>
    </row>
    <row r="18" spans="1:7" x14ac:dyDescent="0.3">
      <c r="A18" s="5">
        <v>119</v>
      </c>
      <c r="B18" s="2">
        <v>237</v>
      </c>
      <c r="C18" s="2">
        <v>2847</v>
      </c>
      <c r="D18" s="2" t="s">
        <v>6</v>
      </c>
      <c r="E18" s="2">
        <f t="shared" si="0"/>
        <v>23700</v>
      </c>
      <c r="F18" s="2">
        <f t="shared" si="1"/>
        <v>284700</v>
      </c>
      <c r="G18" s="6">
        <f t="shared" si="2"/>
        <v>261000</v>
      </c>
    </row>
    <row r="19" spans="1:7" x14ac:dyDescent="0.3">
      <c r="A19" s="5">
        <v>120</v>
      </c>
      <c r="B19" s="2">
        <v>7.2</v>
      </c>
      <c r="C19" s="2">
        <v>291</v>
      </c>
      <c r="D19" s="2" t="s">
        <v>6</v>
      </c>
      <c r="E19" s="2">
        <f t="shared" si="0"/>
        <v>720</v>
      </c>
      <c r="F19" s="2">
        <f t="shared" si="1"/>
        <v>29100</v>
      </c>
      <c r="G19" s="6">
        <f t="shared" si="2"/>
        <v>28380</v>
      </c>
    </row>
    <row r="20" spans="1:7" x14ac:dyDescent="0.3">
      <c r="A20" s="5">
        <v>121</v>
      </c>
      <c r="B20" s="2">
        <v>185</v>
      </c>
      <c r="C20" s="2">
        <v>1006</v>
      </c>
      <c r="D20" s="2" t="s">
        <v>6</v>
      </c>
      <c r="E20" s="2">
        <f t="shared" si="0"/>
        <v>18500</v>
      </c>
      <c r="F20" s="2">
        <f t="shared" si="1"/>
        <v>100600</v>
      </c>
      <c r="G20" s="6">
        <f t="shared" si="2"/>
        <v>82100</v>
      </c>
    </row>
    <row r="21" spans="1:7" x14ac:dyDescent="0.3">
      <c r="A21" s="5">
        <v>122</v>
      </c>
      <c r="B21" s="2">
        <v>22</v>
      </c>
      <c r="C21" s="2">
        <v>322.2</v>
      </c>
      <c r="D21" s="2" t="s">
        <v>6</v>
      </c>
      <c r="E21" s="2">
        <f t="shared" si="0"/>
        <v>2200</v>
      </c>
      <c r="F21" s="2">
        <f t="shared" si="1"/>
        <v>32220</v>
      </c>
      <c r="G21" s="6">
        <f t="shared" si="2"/>
        <v>30020</v>
      </c>
    </row>
    <row r="22" spans="1:7" x14ac:dyDescent="0.3">
      <c r="A22" s="5">
        <v>123</v>
      </c>
      <c r="B22" s="2">
        <v>63</v>
      </c>
      <c r="C22" s="2">
        <v>1046</v>
      </c>
      <c r="D22" s="2" t="s">
        <v>6</v>
      </c>
      <c r="E22" s="2">
        <f t="shared" si="0"/>
        <v>6300</v>
      </c>
      <c r="F22" s="2">
        <f t="shared" si="1"/>
        <v>104600</v>
      </c>
      <c r="G22" s="6">
        <f t="shared" si="2"/>
        <v>98300</v>
      </c>
    </row>
    <row r="23" spans="1:7" x14ac:dyDescent="0.3">
      <c r="A23" s="5">
        <v>124</v>
      </c>
      <c r="B23" s="2">
        <v>15.5</v>
      </c>
      <c r="C23" s="2">
        <v>263.10000000000002</v>
      </c>
      <c r="D23" s="2" t="s">
        <v>6</v>
      </c>
      <c r="E23" s="2">
        <f t="shared" si="0"/>
        <v>1550</v>
      </c>
      <c r="F23" s="2">
        <f t="shared" si="1"/>
        <v>26310.000000000004</v>
      </c>
      <c r="G23" s="6">
        <f t="shared" si="2"/>
        <v>24760.000000000004</v>
      </c>
    </row>
    <row r="24" spans="1:7" x14ac:dyDescent="0.3">
      <c r="A24" s="5">
        <v>125</v>
      </c>
      <c r="B24" s="2">
        <v>400</v>
      </c>
      <c r="C24" s="2">
        <v>2798</v>
      </c>
      <c r="D24" s="2" t="s">
        <v>6</v>
      </c>
      <c r="E24" s="2">
        <f t="shared" si="0"/>
        <v>40000</v>
      </c>
      <c r="F24" s="2">
        <f t="shared" si="1"/>
        <v>279800</v>
      </c>
      <c r="G24" s="6">
        <f t="shared" si="2"/>
        <v>239800</v>
      </c>
    </row>
    <row r="25" spans="1:7" x14ac:dyDescent="0.3">
      <c r="A25" s="5">
        <v>126</v>
      </c>
      <c r="B25" s="2">
        <v>400</v>
      </c>
      <c r="C25" s="2">
        <v>2048</v>
      </c>
      <c r="D25" s="2" t="s">
        <v>6</v>
      </c>
      <c r="E25" s="2">
        <f t="shared" si="0"/>
        <v>40000</v>
      </c>
      <c r="F25" s="2">
        <f t="shared" si="1"/>
        <v>204800</v>
      </c>
      <c r="G25" s="6">
        <f t="shared" si="2"/>
        <v>164800</v>
      </c>
    </row>
    <row r="26" spans="1:7" x14ac:dyDescent="0.3">
      <c r="A26" s="5">
        <v>127</v>
      </c>
      <c r="B26" s="2">
        <v>70</v>
      </c>
      <c r="C26" s="2">
        <v>100</v>
      </c>
      <c r="D26" s="2" t="s">
        <v>5</v>
      </c>
      <c r="E26" s="2">
        <f t="shared" si="0"/>
        <v>70</v>
      </c>
      <c r="F26" s="2">
        <f t="shared" si="1"/>
        <v>100</v>
      </c>
      <c r="G26" s="6">
        <f t="shared" si="2"/>
        <v>30</v>
      </c>
    </row>
    <row r="27" spans="1:7" x14ac:dyDescent="0.3">
      <c r="A27" s="5">
        <v>128</v>
      </c>
      <c r="B27" s="2">
        <v>120</v>
      </c>
      <c r="C27" s="2">
        <v>1350</v>
      </c>
      <c r="D27" s="2" t="s">
        <v>5</v>
      </c>
      <c r="E27" s="2">
        <f t="shared" si="0"/>
        <v>120</v>
      </c>
      <c r="F27" s="2">
        <f t="shared" si="1"/>
        <v>1350</v>
      </c>
      <c r="G27" s="6">
        <f t="shared" si="2"/>
        <v>1230</v>
      </c>
    </row>
    <row r="28" spans="1:7" x14ac:dyDescent="0.3">
      <c r="A28" s="5">
        <v>129</v>
      </c>
      <c r="B28" s="2">
        <v>100</v>
      </c>
      <c r="C28" s="2">
        <v>410</v>
      </c>
      <c r="D28" s="2" t="s">
        <v>5</v>
      </c>
      <c r="E28" s="2">
        <f t="shared" si="0"/>
        <v>100</v>
      </c>
      <c r="F28" s="2">
        <f t="shared" si="1"/>
        <v>410</v>
      </c>
      <c r="G28" s="6">
        <f t="shared" si="2"/>
        <v>310</v>
      </c>
    </row>
    <row r="29" spans="1:7" x14ac:dyDescent="0.3">
      <c r="A29" s="5">
        <v>130</v>
      </c>
      <c r="B29" s="2">
        <v>850</v>
      </c>
      <c r="C29" s="2">
        <v>8540</v>
      </c>
      <c r="D29" s="2" t="s">
        <v>5</v>
      </c>
      <c r="E29" s="2">
        <f t="shared" si="0"/>
        <v>850</v>
      </c>
      <c r="F29" s="2">
        <f t="shared" si="1"/>
        <v>8540</v>
      </c>
      <c r="G29" s="6">
        <f t="shared" si="2"/>
        <v>7690</v>
      </c>
    </row>
    <row r="30" spans="1:7" x14ac:dyDescent="0.3">
      <c r="A30" s="5">
        <v>131</v>
      </c>
      <c r="B30" s="2">
        <v>1</v>
      </c>
      <c r="C30" s="2">
        <v>5.9</v>
      </c>
      <c r="D30" s="2" t="s">
        <v>5</v>
      </c>
      <c r="E30" s="2">
        <f t="shared" si="0"/>
        <v>1</v>
      </c>
      <c r="F30" s="2">
        <f t="shared" si="1"/>
        <v>5.9</v>
      </c>
      <c r="G30" s="6">
        <f t="shared" si="2"/>
        <v>4.9000000000000004</v>
      </c>
    </row>
    <row r="31" spans="1:7" x14ac:dyDescent="0.3">
      <c r="A31" s="5">
        <v>132</v>
      </c>
      <c r="B31" s="2">
        <v>2</v>
      </c>
      <c r="C31" s="2">
        <v>3.6</v>
      </c>
      <c r="D31" s="2" t="s">
        <v>5</v>
      </c>
      <c r="E31" s="2">
        <f t="shared" si="0"/>
        <v>2</v>
      </c>
      <c r="F31" s="2">
        <f t="shared" si="1"/>
        <v>3.6</v>
      </c>
      <c r="G31" s="6">
        <f t="shared" si="2"/>
        <v>1.6</v>
      </c>
    </row>
    <row r="32" spans="1:7" x14ac:dyDescent="0.3">
      <c r="A32" s="5">
        <v>133</v>
      </c>
      <c r="B32" s="2">
        <v>5.5</v>
      </c>
      <c r="C32" s="2">
        <v>12</v>
      </c>
      <c r="D32" s="2" t="s">
        <v>5</v>
      </c>
      <c r="E32" s="2">
        <f t="shared" si="0"/>
        <v>5.5</v>
      </c>
      <c r="F32" s="2">
        <f t="shared" si="1"/>
        <v>12</v>
      </c>
      <c r="G32" s="6">
        <f t="shared" si="2"/>
        <v>6.5</v>
      </c>
    </row>
    <row r="33" spans="1:7" x14ac:dyDescent="0.3">
      <c r="A33" s="5">
        <v>134</v>
      </c>
      <c r="B33" s="2">
        <v>1.8</v>
      </c>
      <c r="C33" s="2">
        <v>6.5</v>
      </c>
      <c r="D33" s="2" t="s">
        <v>5</v>
      </c>
      <c r="E33" s="2">
        <f t="shared" si="0"/>
        <v>1.8</v>
      </c>
      <c r="F33" s="2">
        <f t="shared" si="1"/>
        <v>6.5</v>
      </c>
      <c r="G33" s="6">
        <f t="shared" si="2"/>
        <v>4.7</v>
      </c>
    </row>
    <row r="34" spans="1:7" x14ac:dyDescent="0.3">
      <c r="A34" s="5">
        <v>135</v>
      </c>
      <c r="B34" s="2">
        <v>250</v>
      </c>
      <c r="C34" s="2">
        <v>3409</v>
      </c>
      <c r="D34" s="2" t="s">
        <v>5</v>
      </c>
      <c r="E34" s="2">
        <f t="shared" si="0"/>
        <v>250</v>
      </c>
      <c r="F34" s="2">
        <f t="shared" si="1"/>
        <v>3409</v>
      </c>
      <c r="G34" s="6">
        <f t="shared" si="2"/>
        <v>3159</v>
      </c>
    </row>
    <row r="35" spans="1:7" x14ac:dyDescent="0.3">
      <c r="A35" s="5">
        <v>136</v>
      </c>
      <c r="B35" s="2">
        <v>900</v>
      </c>
      <c r="C35" s="2">
        <v>11690</v>
      </c>
      <c r="D35" s="2" t="s">
        <v>5</v>
      </c>
      <c r="E35" s="2">
        <f t="shared" si="0"/>
        <v>900</v>
      </c>
      <c r="F35" s="2">
        <f t="shared" si="1"/>
        <v>11690</v>
      </c>
      <c r="G35" s="6">
        <f t="shared" si="2"/>
        <v>10790</v>
      </c>
    </row>
    <row r="36" spans="1:7" x14ac:dyDescent="0.3">
      <c r="A36" s="5">
        <v>137</v>
      </c>
      <c r="B36" s="2">
        <v>216.7</v>
      </c>
      <c r="C36" s="2">
        <v>370.6</v>
      </c>
      <c r="D36" s="2" t="s">
        <v>6</v>
      </c>
      <c r="E36" s="2">
        <f t="shared" si="0"/>
        <v>21670</v>
      </c>
      <c r="F36" s="2">
        <f t="shared" si="1"/>
        <v>37060</v>
      </c>
      <c r="G36" s="6">
        <f t="shared" si="2"/>
        <v>15390</v>
      </c>
    </row>
    <row r="37" spans="1:7" x14ac:dyDescent="0.3">
      <c r="A37" s="5">
        <v>138</v>
      </c>
      <c r="B37" s="2">
        <v>177</v>
      </c>
      <c r="C37" s="2">
        <v>714.4</v>
      </c>
      <c r="D37" s="2" t="s">
        <v>6</v>
      </c>
      <c r="E37" s="2">
        <f t="shared" si="0"/>
        <v>17700</v>
      </c>
      <c r="F37" s="2">
        <f t="shared" si="1"/>
        <v>71440</v>
      </c>
      <c r="G37" s="6">
        <f t="shared" si="2"/>
        <v>53740</v>
      </c>
    </row>
    <row r="38" spans="1:7" x14ac:dyDescent="0.3">
      <c r="A38" s="5">
        <v>139</v>
      </c>
      <c r="B38" s="2">
        <v>1.8</v>
      </c>
      <c r="C38" s="2">
        <v>3.1</v>
      </c>
      <c r="D38" s="2" t="s">
        <v>5</v>
      </c>
      <c r="E38" s="2">
        <f t="shared" si="0"/>
        <v>1.8</v>
      </c>
      <c r="F38" s="2">
        <f t="shared" si="1"/>
        <v>3.1</v>
      </c>
      <c r="G38" s="6">
        <f t="shared" si="2"/>
        <v>1.3</v>
      </c>
    </row>
    <row r="39" spans="1:7" x14ac:dyDescent="0.3">
      <c r="A39" s="5">
        <v>140</v>
      </c>
      <c r="B39" s="2">
        <v>500</v>
      </c>
      <c r="C39" s="2">
        <v>950</v>
      </c>
      <c r="D39" s="2" t="s">
        <v>5</v>
      </c>
      <c r="E39" s="2">
        <f t="shared" si="0"/>
        <v>500</v>
      </c>
      <c r="F39" s="2">
        <f t="shared" si="1"/>
        <v>950</v>
      </c>
      <c r="G39" s="6">
        <f t="shared" si="2"/>
        <v>450</v>
      </c>
    </row>
    <row r="40" spans="1:7" x14ac:dyDescent="0.3">
      <c r="A40" s="5">
        <v>406</v>
      </c>
      <c r="B40" s="2">
        <v>30</v>
      </c>
      <c r="C40" s="2">
        <v>350</v>
      </c>
      <c r="D40" s="2" t="s">
        <v>5</v>
      </c>
      <c r="E40" s="2">
        <f t="shared" si="0"/>
        <v>30</v>
      </c>
      <c r="F40" s="2">
        <f t="shared" si="1"/>
        <v>350</v>
      </c>
      <c r="G40" s="6">
        <f t="shared" si="2"/>
        <v>320</v>
      </c>
    </row>
    <row r="41" spans="1:7" x14ac:dyDescent="0.3">
      <c r="A41" s="7">
        <v>412</v>
      </c>
      <c r="B41" s="8">
        <v>160</v>
      </c>
      <c r="C41" s="8">
        <v>836.8</v>
      </c>
      <c r="D41" s="8" t="s">
        <v>6</v>
      </c>
      <c r="E41" s="8">
        <f t="shared" si="0"/>
        <v>16000</v>
      </c>
      <c r="F41" s="8">
        <f t="shared" si="1"/>
        <v>83680</v>
      </c>
      <c r="G41" s="9">
        <f t="shared" si="2"/>
        <v>67680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D5B1-C91D-4D3E-954A-8D0D69EDCC7A}">
  <dimension ref="A1:H40"/>
  <sheetViews>
    <sheetView topLeftCell="A19" workbookViewId="0">
      <selection sqref="A1:H40"/>
    </sheetView>
  </sheetViews>
  <sheetFormatPr defaultRowHeight="14.4" x14ac:dyDescent="0.3"/>
  <sheetData>
    <row r="1" spans="1:8" x14ac:dyDescent="0.3">
      <c r="A1" s="15" t="s">
        <v>0</v>
      </c>
      <c r="B1" s="15" t="s">
        <v>79</v>
      </c>
      <c r="C1" s="15" t="s">
        <v>7</v>
      </c>
      <c r="D1" s="15" t="s">
        <v>8</v>
      </c>
      <c r="E1" s="15" t="s">
        <v>9</v>
      </c>
      <c r="F1" s="15" t="s">
        <v>10</v>
      </c>
      <c r="G1" s="15" t="s">
        <v>11</v>
      </c>
      <c r="H1" s="16" t="s">
        <v>90</v>
      </c>
    </row>
    <row r="2" spans="1:8" x14ac:dyDescent="0.3">
      <c r="A2" s="2">
        <v>101</v>
      </c>
      <c r="B2" s="2" t="s">
        <v>12</v>
      </c>
      <c r="C2" s="2" t="s">
        <v>13</v>
      </c>
      <c r="D2" s="2">
        <v>2022</v>
      </c>
      <c r="E2" s="4">
        <v>8.4</v>
      </c>
      <c r="F2" s="2" t="s">
        <v>14</v>
      </c>
      <c r="G2" s="2">
        <v>3</v>
      </c>
      <c r="H2" s="2">
        <v>11.5</v>
      </c>
    </row>
    <row r="3" spans="1:8" x14ac:dyDescent="0.3">
      <c r="A3" s="2">
        <v>102</v>
      </c>
      <c r="B3" s="2" t="s">
        <v>15</v>
      </c>
      <c r="C3" s="2" t="s">
        <v>16</v>
      </c>
      <c r="D3" s="2">
        <v>2022</v>
      </c>
      <c r="E3" s="4">
        <v>7</v>
      </c>
      <c r="F3" s="2" t="s">
        <v>17</v>
      </c>
      <c r="G3" s="2">
        <v>5</v>
      </c>
      <c r="H3" s="2">
        <v>75480</v>
      </c>
    </row>
    <row r="4" spans="1:8" x14ac:dyDescent="0.3">
      <c r="A4" s="2">
        <v>103</v>
      </c>
      <c r="B4" s="2" t="s">
        <v>18</v>
      </c>
      <c r="C4" s="2" t="s">
        <v>16</v>
      </c>
      <c r="D4" s="2">
        <v>2013</v>
      </c>
      <c r="E4" s="4">
        <v>6.8</v>
      </c>
      <c r="F4" s="2" t="s">
        <v>17</v>
      </c>
      <c r="G4" s="2">
        <v>5</v>
      </c>
      <c r="H4" s="2">
        <v>47979.999999999993</v>
      </c>
    </row>
    <row r="5" spans="1:8" x14ac:dyDescent="0.3">
      <c r="A5" s="2">
        <v>104</v>
      </c>
      <c r="B5" s="2" t="s">
        <v>19</v>
      </c>
      <c r="C5" s="2" t="s">
        <v>16</v>
      </c>
      <c r="D5" s="2">
        <v>2017</v>
      </c>
      <c r="E5" s="4">
        <v>7.9</v>
      </c>
      <c r="F5" s="2" t="s">
        <v>20</v>
      </c>
      <c r="G5" s="2">
        <v>5</v>
      </c>
      <c r="H5" s="2">
        <v>67400</v>
      </c>
    </row>
    <row r="6" spans="1:8" x14ac:dyDescent="0.3">
      <c r="A6" s="2">
        <v>105</v>
      </c>
      <c r="B6" s="2" t="s">
        <v>21</v>
      </c>
      <c r="C6" s="2" t="s">
        <v>16</v>
      </c>
      <c r="D6" s="2">
        <v>2022</v>
      </c>
      <c r="E6" s="4">
        <v>6.8</v>
      </c>
      <c r="F6" s="2" t="s">
        <v>17</v>
      </c>
      <c r="G6" s="2">
        <v>5</v>
      </c>
      <c r="H6" s="2">
        <v>42000</v>
      </c>
    </row>
    <row r="7" spans="1:8" x14ac:dyDescent="0.3">
      <c r="A7" s="2">
        <v>106</v>
      </c>
      <c r="B7" s="2" t="s">
        <v>22</v>
      </c>
      <c r="C7" s="2" t="s">
        <v>13</v>
      </c>
      <c r="D7" s="2">
        <v>1975</v>
      </c>
      <c r="E7" s="4">
        <v>8.1</v>
      </c>
      <c r="F7" s="2" t="s">
        <v>23</v>
      </c>
      <c r="G7" s="2">
        <v>1</v>
      </c>
      <c r="H7" s="2">
        <v>0</v>
      </c>
    </row>
    <row r="8" spans="1:8" x14ac:dyDescent="0.3">
      <c r="A8" s="2">
        <v>107</v>
      </c>
      <c r="B8" s="2" t="s">
        <v>24</v>
      </c>
      <c r="C8" s="2" t="s">
        <v>13</v>
      </c>
      <c r="D8" s="2">
        <v>1995</v>
      </c>
      <c r="E8" s="4">
        <v>8</v>
      </c>
      <c r="F8" s="2" t="s">
        <v>25</v>
      </c>
      <c r="G8" s="2">
        <v>1</v>
      </c>
      <c r="H8" s="2">
        <v>1600</v>
      </c>
    </row>
    <row r="9" spans="1:8" x14ac:dyDescent="0.3">
      <c r="A9" s="2">
        <v>108</v>
      </c>
      <c r="B9" s="2" t="s">
        <v>26</v>
      </c>
      <c r="C9" s="2" t="s">
        <v>13</v>
      </c>
      <c r="D9" s="2">
        <v>2009</v>
      </c>
      <c r="E9" s="4">
        <v>8.4</v>
      </c>
      <c r="F9" s="2" t="s">
        <v>27</v>
      </c>
      <c r="G9" s="2">
        <v>1</v>
      </c>
      <c r="H9" s="2">
        <v>3450</v>
      </c>
    </row>
    <row r="10" spans="1:8" x14ac:dyDescent="0.3">
      <c r="A10" s="2">
        <v>109</v>
      </c>
      <c r="B10" s="2" t="s">
        <v>28</v>
      </c>
      <c r="C10" s="2" t="s">
        <v>13</v>
      </c>
      <c r="D10" s="2">
        <v>2001</v>
      </c>
      <c r="E10" s="4">
        <v>7.4</v>
      </c>
      <c r="F10" s="2" t="s">
        <v>29</v>
      </c>
      <c r="G10" s="2">
        <v>1</v>
      </c>
      <c r="H10" s="2">
        <v>970</v>
      </c>
    </row>
    <row r="11" spans="1:8" x14ac:dyDescent="0.3">
      <c r="A11" s="2">
        <v>110</v>
      </c>
      <c r="B11" s="2" t="s">
        <v>30</v>
      </c>
      <c r="C11" s="2" t="s">
        <v>13</v>
      </c>
      <c r="D11" s="2">
        <v>2015</v>
      </c>
      <c r="E11" s="4">
        <v>7.2</v>
      </c>
      <c r="F11" s="2" t="s">
        <v>31</v>
      </c>
      <c r="G11" s="2">
        <v>1</v>
      </c>
      <c r="H11" s="2">
        <v>2.1</v>
      </c>
    </row>
    <row r="12" spans="1:8" x14ac:dyDescent="0.3">
      <c r="A12" s="2">
        <v>111</v>
      </c>
      <c r="B12" s="2" t="s">
        <v>32</v>
      </c>
      <c r="C12" s="2" t="s">
        <v>16</v>
      </c>
      <c r="D12" s="2">
        <v>1994</v>
      </c>
      <c r="E12" s="4">
        <v>9.3000000000000007</v>
      </c>
      <c r="F12" s="2" t="s">
        <v>33</v>
      </c>
      <c r="G12" s="2">
        <v>5</v>
      </c>
      <c r="H12" s="2">
        <v>4830</v>
      </c>
    </row>
    <row r="13" spans="1:8" x14ac:dyDescent="0.3">
      <c r="A13" s="2">
        <v>112</v>
      </c>
      <c r="B13" s="2" t="s">
        <v>34</v>
      </c>
      <c r="C13" s="2" t="s">
        <v>16</v>
      </c>
      <c r="D13" s="2">
        <v>2010</v>
      </c>
      <c r="E13" s="4">
        <v>8.8000000000000007</v>
      </c>
      <c r="F13" s="2" t="s">
        <v>35</v>
      </c>
      <c r="G13" s="2">
        <v>5</v>
      </c>
      <c r="H13" s="2">
        <v>0</v>
      </c>
    </row>
    <row r="14" spans="1:8" x14ac:dyDescent="0.3">
      <c r="A14" s="2">
        <v>113</v>
      </c>
      <c r="B14" s="2" t="s">
        <v>36</v>
      </c>
      <c r="C14" s="2" t="s">
        <v>16</v>
      </c>
      <c r="D14" s="2">
        <v>2014</v>
      </c>
      <c r="E14" s="4">
        <v>8.6</v>
      </c>
      <c r="F14" s="2" t="s">
        <v>35</v>
      </c>
      <c r="G14" s="2">
        <v>5</v>
      </c>
      <c r="H14" s="2">
        <v>53680</v>
      </c>
    </row>
    <row r="15" spans="1:8" x14ac:dyDescent="0.3">
      <c r="A15" s="2">
        <v>115</v>
      </c>
      <c r="B15" s="2" t="s">
        <v>37</v>
      </c>
      <c r="C15" s="2" t="s">
        <v>16</v>
      </c>
      <c r="D15" s="2">
        <v>2006</v>
      </c>
      <c r="E15" s="4">
        <v>8</v>
      </c>
      <c r="F15" s="2" t="s">
        <v>38</v>
      </c>
      <c r="G15" s="2">
        <v>5</v>
      </c>
      <c r="H15" s="2">
        <v>25210.000000000004</v>
      </c>
    </row>
    <row r="16" spans="1:8" x14ac:dyDescent="0.3">
      <c r="A16" s="2">
        <v>116</v>
      </c>
      <c r="B16" s="2" t="s">
        <v>39</v>
      </c>
      <c r="C16" s="2" t="s">
        <v>16</v>
      </c>
      <c r="D16" s="2">
        <v>2000</v>
      </c>
      <c r="E16" s="4">
        <v>8.5</v>
      </c>
      <c r="F16" s="2" t="s">
        <v>40</v>
      </c>
      <c r="G16" s="2">
        <v>5</v>
      </c>
      <c r="H16" s="2">
        <v>35750</v>
      </c>
    </row>
    <row r="17" spans="1:8" x14ac:dyDescent="0.3">
      <c r="A17" s="2">
        <v>117</v>
      </c>
      <c r="B17" s="2" t="s">
        <v>41</v>
      </c>
      <c r="C17" s="2" t="s">
        <v>16</v>
      </c>
      <c r="D17" s="2">
        <v>1997</v>
      </c>
      <c r="E17" s="4">
        <v>7.9</v>
      </c>
      <c r="F17" s="2" t="s">
        <v>42</v>
      </c>
      <c r="G17" s="2">
        <v>5</v>
      </c>
      <c r="H17" s="2">
        <v>200200</v>
      </c>
    </row>
    <row r="18" spans="1:8" x14ac:dyDescent="0.3">
      <c r="A18" s="2">
        <v>118</v>
      </c>
      <c r="B18" s="2" t="s">
        <v>43</v>
      </c>
      <c r="C18" s="2" t="s">
        <v>16</v>
      </c>
      <c r="D18" s="2">
        <v>1946</v>
      </c>
      <c r="E18" s="4">
        <v>8.6</v>
      </c>
      <c r="F18" s="2" t="s">
        <v>44</v>
      </c>
      <c r="G18" s="2">
        <v>5</v>
      </c>
      <c r="H18" s="2">
        <v>12</v>
      </c>
    </row>
    <row r="19" spans="1:8" x14ac:dyDescent="0.3">
      <c r="A19" s="2">
        <v>119</v>
      </c>
      <c r="B19" s="2" t="s">
        <v>45</v>
      </c>
      <c r="C19" s="2" t="s">
        <v>16</v>
      </c>
      <c r="D19" s="2">
        <v>2009</v>
      </c>
      <c r="E19" s="4">
        <v>7.8</v>
      </c>
      <c r="F19" s="2" t="s">
        <v>46</v>
      </c>
      <c r="G19" s="2">
        <v>5</v>
      </c>
      <c r="H19" s="2">
        <v>261000</v>
      </c>
    </row>
    <row r="20" spans="1:8" x14ac:dyDescent="0.3">
      <c r="A20" s="2">
        <v>120</v>
      </c>
      <c r="B20" s="2" t="s">
        <v>47</v>
      </c>
      <c r="C20" s="2" t="s">
        <v>16</v>
      </c>
      <c r="D20" s="2">
        <v>1972</v>
      </c>
      <c r="E20" s="4">
        <v>9.1999999999999993</v>
      </c>
      <c r="F20" s="2" t="s">
        <v>48</v>
      </c>
      <c r="G20" s="2">
        <v>5</v>
      </c>
      <c r="H20" s="2">
        <v>28380</v>
      </c>
    </row>
    <row r="21" spans="1:8" x14ac:dyDescent="0.3">
      <c r="A21" s="2">
        <v>121</v>
      </c>
      <c r="B21" s="2" t="s">
        <v>49</v>
      </c>
      <c r="C21" s="2" t="s">
        <v>16</v>
      </c>
      <c r="D21" s="2">
        <v>2008</v>
      </c>
      <c r="E21" s="4">
        <v>9</v>
      </c>
      <c r="F21" s="2" t="s">
        <v>50</v>
      </c>
      <c r="G21" s="2">
        <v>5</v>
      </c>
      <c r="H21" s="2">
        <v>82100</v>
      </c>
    </row>
    <row r="22" spans="1:8" x14ac:dyDescent="0.3">
      <c r="A22" s="2">
        <v>122</v>
      </c>
      <c r="B22" s="2" t="s">
        <v>51</v>
      </c>
      <c r="C22" s="2" t="s">
        <v>16</v>
      </c>
      <c r="D22" s="2">
        <v>1993</v>
      </c>
      <c r="E22" s="4">
        <v>9</v>
      </c>
      <c r="F22" s="2" t="s">
        <v>52</v>
      </c>
      <c r="G22" s="2">
        <v>5</v>
      </c>
      <c r="H22" s="2">
        <v>30020</v>
      </c>
    </row>
    <row r="23" spans="1:8" x14ac:dyDescent="0.3">
      <c r="A23" s="2">
        <v>123</v>
      </c>
      <c r="B23" s="2" t="s">
        <v>53</v>
      </c>
      <c r="C23" s="2" t="s">
        <v>16</v>
      </c>
      <c r="D23" s="2">
        <v>1993</v>
      </c>
      <c r="E23" s="4">
        <v>8.1999999999999993</v>
      </c>
      <c r="F23" s="2" t="s">
        <v>52</v>
      </c>
      <c r="G23" s="2">
        <v>5</v>
      </c>
      <c r="H23" s="2">
        <v>98300</v>
      </c>
    </row>
    <row r="24" spans="1:8" x14ac:dyDescent="0.3">
      <c r="A24" s="2">
        <v>124</v>
      </c>
      <c r="B24" s="2" t="s">
        <v>54</v>
      </c>
      <c r="C24" s="2" t="s">
        <v>16</v>
      </c>
      <c r="D24" s="2">
        <v>2019</v>
      </c>
      <c r="E24" s="4">
        <v>8.5</v>
      </c>
      <c r="F24" s="2" t="s">
        <v>31</v>
      </c>
      <c r="G24" s="2">
        <v>5</v>
      </c>
      <c r="H24" s="2">
        <v>24760.000000000004</v>
      </c>
    </row>
    <row r="25" spans="1:8" x14ac:dyDescent="0.3">
      <c r="A25" s="2">
        <v>125</v>
      </c>
      <c r="B25" s="2" t="s">
        <v>55</v>
      </c>
      <c r="C25" s="2" t="s">
        <v>16</v>
      </c>
      <c r="D25" s="2">
        <v>2019</v>
      </c>
      <c r="E25" s="4">
        <v>8.4</v>
      </c>
      <c r="F25" s="2" t="s">
        <v>17</v>
      </c>
      <c r="G25" s="2">
        <v>5</v>
      </c>
      <c r="H25" s="2">
        <v>239800</v>
      </c>
    </row>
    <row r="26" spans="1:8" x14ac:dyDescent="0.3">
      <c r="A26" s="2">
        <v>126</v>
      </c>
      <c r="B26" s="2" t="s">
        <v>56</v>
      </c>
      <c r="C26" s="2" t="s">
        <v>16</v>
      </c>
      <c r="D26" s="2">
        <v>2018</v>
      </c>
      <c r="E26" s="4">
        <v>8.4</v>
      </c>
      <c r="F26" s="2" t="s">
        <v>17</v>
      </c>
      <c r="G26" s="2">
        <v>5</v>
      </c>
      <c r="H26" s="2">
        <v>164800</v>
      </c>
    </row>
    <row r="27" spans="1:8" x14ac:dyDescent="0.3">
      <c r="A27" s="2">
        <v>127</v>
      </c>
      <c r="B27" s="2" t="s">
        <v>57</v>
      </c>
      <c r="C27" s="2" t="s">
        <v>13</v>
      </c>
      <c r="D27" s="2">
        <v>1955</v>
      </c>
      <c r="E27" s="4">
        <v>8.3000000000000007</v>
      </c>
      <c r="F27" s="2" t="s">
        <v>58</v>
      </c>
      <c r="G27" s="2">
        <v>7</v>
      </c>
      <c r="H27" s="2">
        <v>30</v>
      </c>
    </row>
    <row r="28" spans="1:8" x14ac:dyDescent="0.3">
      <c r="A28" s="2">
        <v>128</v>
      </c>
      <c r="B28" s="2" t="s">
        <v>59</v>
      </c>
      <c r="C28" s="2" t="s">
        <v>13</v>
      </c>
      <c r="D28" s="2">
        <v>2007</v>
      </c>
      <c r="E28" s="4">
        <v>8.3000000000000007</v>
      </c>
      <c r="F28" s="2" t="s">
        <v>31</v>
      </c>
      <c r="G28" s="2">
        <v>1</v>
      </c>
      <c r="H28" s="2">
        <v>1230</v>
      </c>
    </row>
    <row r="29" spans="1:8" x14ac:dyDescent="0.3">
      <c r="A29" s="2">
        <v>129</v>
      </c>
      <c r="B29" s="2" t="s">
        <v>60</v>
      </c>
      <c r="C29" s="2" t="s">
        <v>13</v>
      </c>
      <c r="D29" s="2">
        <v>2003</v>
      </c>
      <c r="E29" s="4">
        <v>8.1</v>
      </c>
      <c r="F29" s="2" t="s">
        <v>61</v>
      </c>
      <c r="G29" s="2">
        <v>1</v>
      </c>
      <c r="H29" s="2">
        <v>310</v>
      </c>
    </row>
    <row r="30" spans="1:8" x14ac:dyDescent="0.3">
      <c r="A30" s="2">
        <v>130</v>
      </c>
      <c r="B30" s="2" t="s">
        <v>62</v>
      </c>
      <c r="C30" s="2" t="s">
        <v>13</v>
      </c>
      <c r="D30" s="2">
        <v>2014</v>
      </c>
      <c r="E30" s="4">
        <v>8.1</v>
      </c>
      <c r="F30" s="2" t="s">
        <v>63</v>
      </c>
      <c r="G30" s="2">
        <v>1</v>
      </c>
      <c r="H30" s="2">
        <v>7690</v>
      </c>
    </row>
    <row r="31" spans="1:8" x14ac:dyDescent="0.3">
      <c r="A31" s="2">
        <v>131</v>
      </c>
      <c r="B31" s="2" t="s">
        <v>64</v>
      </c>
      <c r="C31" s="2" t="s">
        <v>13</v>
      </c>
      <c r="D31" s="2">
        <v>2018</v>
      </c>
      <c r="E31" s="4">
        <v>0</v>
      </c>
      <c r="F31" s="2" t="s">
        <v>63</v>
      </c>
      <c r="G31" s="2">
        <v>1</v>
      </c>
      <c r="H31" s="2">
        <v>4.9000000000000004</v>
      </c>
    </row>
    <row r="32" spans="1:8" x14ac:dyDescent="0.3">
      <c r="A32" s="2">
        <v>132</v>
      </c>
      <c r="B32" s="2" t="s">
        <v>65</v>
      </c>
      <c r="C32" s="2" t="s">
        <v>13</v>
      </c>
      <c r="D32" s="2">
        <v>2021</v>
      </c>
      <c r="E32" s="4">
        <v>7.6</v>
      </c>
      <c r="F32" s="2" t="s">
        <v>66</v>
      </c>
      <c r="G32" s="2">
        <v>2</v>
      </c>
      <c r="H32" s="2">
        <v>1.6</v>
      </c>
    </row>
    <row r="33" spans="1:8" x14ac:dyDescent="0.3">
      <c r="A33" s="2">
        <v>133</v>
      </c>
      <c r="B33" s="2" t="s">
        <v>67</v>
      </c>
      <c r="C33" s="2" t="s">
        <v>13</v>
      </c>
      <c r="D33" s="2">
        <v>2022</v>
      </c>
      <c r="E33" s="4">
        <v>8</v>
      </c>
      <c r="F33" s="2" t="s">
        <v>68</v>
      </c>
      <c r="G33" s="2">
        <v>2</v>
      </c>
      <c r="H33" s="2">
        <v>6.5</v>
      </c>
    </row>
    <row r="34" spans="1:8" x14ac:dyDescent="0.3">
      <c r="A34" s="2">
        <v>134</v>
      </c>
      <c r="B34" s="2" t="s">
        <v>69</v>
      </c>
      <c r="C34" s="2" t="s">
        <v>13</v>
      </c>
      <c r="D34" s="2">
        <v>2015</v>
      </c>
      <c r="E34" s="4">
        <v>8</v>
      </c>
      <c r="F34" s="2" t="s">
        <v>70</v>
      </c>
      <c r="G34" s="2">
        <v>2</v>
      </c>
      <c r="H34" s="2">
        <v>4.7</v>
      </c>
    </row>
    <row r="35" spans="1:8" x14ac:dyDescent="0.3">
      <c r="A35" s="2">
        <v>135</v>
      </c>
      <c r="B35" s="2" t="s">
        <v>71</v>
      </c>
      <c r="C35" s="2" t="s">
        <v>13</v>
      </c>
      <c r="D35" s="2">
        <v>2022</v>
      </c>
      <c r="E35" s="4">
        <v>8.3000000000000007</v>
      </c>
      <c r="F35" s="2" t="s">
        <v>72</v>
      </c>
      <c r="G35" s="2">
        <v>1</v>
      </c>
      <c r="H35" s="2">
        <v>3159</v>
      </c>
    </row>
    <row r="36" spans="1:8" x14ac:dyDescent="0.3">
      <c r="A36" s="2">
        <v>136</v>
      </c>
      <c r="B36" s="2" t="s">
        <v>73</v>
      </c>
      <c r="C36" s="2" t="s">
        <v>13</v>
      </c>
      <c r="D36" s="2">
        <v>2015</v>
      </c>
      <c r="E36" s="4">
        <v>8.1</v>
      </c>
      <c r="F36" s="2" t="s">
        <v>74</v>
      </c>
      <c r="G36" s="2">
        <v>1</v>
      </c>
      <c r="H36" s="2">
        <v>10790</v>
      </c>
    </row>
    <row r="37" spans="1:8" x14ac:dyDescent="0.3">
      <c r="A37" s="2">
        <v>137</v>
      </c>
      <c r="B37" s="2" t="s">
        <v>75</v>
      </c>
      <c r="C37" s="2" t="s">
        <v>16</v>
      </c>
      <c r="D37" s="2">
        <v>2011</v>
      </c>
      <c r="E37" s="4">
        <v>6.9</v>
      </c>
      <c r="F37" s="2" t="s">
        <v>17</v>
      </c>
      <c r="G37" s="2">
        <v>5</v>
      </c>
      <c r="H37" s="2">
        <v>15390</v>
      </c>
    </row>
    <row r="38" spans="1:8" x14ac:dyDescent="0.3">
      <c r="A38" s="2">
        <v>138</v>
      </c>
      <c r="B38" s="2" t="s">
        <v>76</v>
      </c>
      <c r="C38" s="2" t="s">
        <v>16</v>
      </c>
      <c r="D38" s="2">
        <v>2014</v>
      </c>
      <c r="E38" s="4">
        <v>7.8</v>
      </c>
      <c r="F38" s="2" t="s">
        <v>17</v>
      </c>
      <c r="G38" s="2">
        <v>5</v>
      </c>
      <c r="H38" s="2">
        <v>53740</v>
      </c>
    </row>
    <row r="39" spans="1:8" x14ac:dyDescent="0.3">
      <c r="A39" s="2">
        <v>139</v>
      </c>
      <c r="B39" s="2" t="s">
        <v>77</v>
      </c>
      <c r="C39" s="2" t="s">
        <v>13</v>
      </c>
      <c r="D39" s="2">
        <v>2018</v>
      </c>
      <c r="E39" s="4">
        <v>1.9</v>
      </c>
      <c r="F39" s="2" t="s">
        <v>74</v>
      </c>
      <c r="G39" s="2">
        <v>1</v>
      </c>
      <c r="H39" s="2">
        <v>1.3</v>
      </c>
    </row>
    <row r="40" spans="1:8" x14ac:dyDescent="0.3">
      <c r="A40" s="2">
        <v>140</v>
      </c>
      <c r="B40" s="2" t="s">
        <v>78</v>
      </c>
      <c r="C40" s="2" t="s">
        <v>13</v>
      </c>
      <c r="D40" s="2">
        <v>2021</v>
      </c>
      <c r="E40" s="4">
        <v>8.4</v>
      </c>
      <c r="F40" s="2" t="s">
        <v>29</v>
      </c>
      <c r="G40" s="2">
        <v>1</v>
      </c>
      <c r="H40" s="2">
        <v>450</v>
      </c>
    </row>
  </sheetData>
  <conditionalFormatting sqref="A1:A40">
    <cfRule type="duplicateValues" dxfId="0" priority="1"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92031-0212-498E-B9C5-05B040C85E77}">
  <dimension ref="A3:B43"/>
  <sheetViews>
    <sheetView workbookViewId="0">
      <selection activeCell="I4" sqref="I4"/>
    </sheetView>
  </sheetViews>
  <sheetFormatPr defaultRowHeight="14.4" x14ac:dyDescent="0.3"/>
  <cols>
    <col min="1" max="1" width="12.44140625" bestFit="1" customWidth="1"/>
    <col min="2" max="3" width="11.5546875" bestFit="1" customWidth="1"/>
  </cols>
  <sheetData>
    <row r="3" spans="1:2" x14ac:dyDescent="0.3">
      <c r="A3" s="12" t="s">
        <v>82</v>
      </c>
      <c r="B3" t="s">
        <v>91</v>
      </c>
    </row>
    <row r="4" spans="1:2" x14ac:dyDescent="0.3">
      <c r="A4" s="13">
        <v>101</v>
      </c>
      <c r="B4">
        <v>11.5</v>
      </c>
    </row>
    <row r="5" spans="1:2" x14ac:dyDescent="0.3">
      <c r="A5" s="13">
        <v>102</v>
      </c>
      <c r="B5">
        <v>75480</v>
      </c>
    </row>
    <row r="6" spans="1:2" x14ac:dyDescent="0.3">
      <c r="A6" s="13">
        <v>103</v>
      </c>
      <c r="B6">
        <v>47979.999999999993</v>
      </c>
    </row>
    <row r="7" spans="1:2" x14ac:dyDescent="0.3">
      <c r="A7" s="13">
        <v>104</v>
      </c>
      <c r="B7">
        <v>67400</v>
      </c>
    </row>
    <row r="8" spans="1:2" x14ac:dyDescent="0.3">
      <c r="A8" s="13">
        <v>105</v>
      </c>
      <c r="B8">
        <v>42000</v>
      </c>
    </row>
    <row r="9" spans="1:2" x14ac:dyDescent="0.3">
      <c r="A9" s="13">
        <v>106</v>
      </c>
      <c r="B9">
        <v>0</v>
      </c>
    </row>
    <row r="10" spans="1:2" x14ac:dyDescent="0.3">
      <c r="A10" s="13">
        <v>107</v>
      </c>
      <c r="B10">
        <v>1600</v>
      </c>
    </row>
    <row r="11" spans="1:2" x14ac:dyDescent="0.3">
      <c r="A11" s="13">
        <v>108</v>
      </c>
      <c r="B11">
        <v>3450</v>
      </c>
    </row>
    <row r="12" spans="1:2" x14ac:dyDescent="0.3">
      <c r="A12" s="13">
        <v>109</v>
      </c>
      <c r="B12">
        <v>970</v>
      </c>
    </row>
    <row r="13" spans="1:2" x14ac:dyDescent="0.3">
      <c r="A13" s="13">
        <v>110</v>
      </c>
      <c r="B13">
        <v>2.1</v>
      </c>
    </row>
    <row r="14" spans="1:2" x14ac:dyDescent="0.3">
      <c r="A14" s="13">
        <v>111</v>
      </c>
      <c r="B14">
        <v>4830</v>
      </c>
    </row>
    <row r="15" spans="1:2" x14ac:dyDescent="0.3">
      <c r="A15" s="13">
        <v>112</v>
      </c>
      <c r="B15">
        <v>0</v>
      </c>
    </row>
    <row r="16" spans="1:2" x14ac:dyDescent="0.3">
      <c r="A16" s="13">
        <v>113</v>
      </c>
      <c r="B16">
        <v>53680</v>
      </c>
    </row>
    <row r="17" spans="1:2" x14ac:dyDescent="0.3">
      <c r="A17" s="13">
        <v>115</v>
      </c>
      <c r="B17">
        <v>25210.000000000004</v>
      </c>
    </row>
    <row r="18" spans="1:2" x14ac:dyDescent="0.3">
      <c r="A18" s="13">
        <v>116</v>
      </c>
      <c r="B18">
        <v>35750</v>
      </c>
    </row>
    <row r="19" spans="1:2" x14ac:dyDescent="0.3">
      <c r="A19" s="13">
        <v>117</v>
      </c>
      <c r="B19">
        <v>200200</v>
      </c>
    </row>
    <row r="20" spans="1:2" x14ac:dyDescent="0.3">
      <c r="A20" s="13">
        <v>118</v>
      </c>
      <c r="B20">
        <v>12</v>
      </c>
    </row>
    <row r="21" spans="1:2" x14ac:dyDescent="0.3">
      <c r="A21" s="13">
        <v>119</v>
      </c>
      <c r="B21">
        <v>261000</v>
      </c>
    </row>
    <row r="22" spans="1:2" x14ac:dyDescent="0.3">
      <c r="A22" s="13">
        <v>120</v>
      </c>
      <c r="B22">
        <v>28380</v>
      </c>
    </row>
    <row r="23" spans="1:2" x14ac:dyDescent="0.3">
      <c r="A23" s="13">
        <v>121</v>
      </c>
      <c r="B23">
        <v>82100</v>
      </c>
    </row>
    <row r="24" spans="1:2" x14ac:dyDescent="0.3">
      <c r="A24" s="13">
        <v>122</v>
      </c>
      <c r="B24">
        <v>30020</v>
      </c>
    </row>
    <row r="25" spans="1:2" x14ac:dyDescent="0.3">
      <c r="A25" s="13">
        <v>123</v>
      </c>
      <c r="B25">
        <v>98300</v>
      </c>
    </row>
    <row r="26" spans="1:2" x14ac:dyDescent="0.3">
      <c r="A26" s="13">
        <v>124</v>
      </c>
      <c r="B26">
        <v>24760.000000000004</v>
      </c>
    </row>
    <row r="27" spans="1:2" x14ac:dyDescent="0.3">
      <c r="A27" s="13">
        <v>125</v>
      </c>
      <c r="B27">
        <v>239800</v>
      </c>
    </row>
    <row r="28" spans="1:2" x14ac:dyDescent="0.3">
      <c r="A28" s="13">
        <v>126</v>
      </c>
      <c r="B28">
        <v>164800</v>
      </c>
    </row>
    <row r="29" spans="1:2" x14ac:dyDescent="0.3">
      <c r="A29" s="13">
        <v>127</v>
      </c>
      <c r="B29">
        <v>30</v>
      </c>
    </row>
    <row r="30" spans="1:2" x14ac:dyDescent="0.3">
      <c r="A30" s="13">
        <v>128</v>
      </c>
      <c r="B30">
        <v>1230</v>
      </c>
    </row>
    <row r="31" spans="1:2" x14ac:dyDescent="0.3">
      <c r="A31" s="13">
        <v>129</v>
      </c>
      <c r="B31">
        <v>310</v>
      </c>
    </row>
    <row r="32" spans="1:2" x14ac:dyDescent="0.3">
      <c r="A32" s="13">
        <v>130</v>
      </c>
      <c r="B32">
        <v>7690</v>
      </c>
    </row>
    <row r="33" spans="1:2" x14ac:dyDescent="0.3">
      <c r="A33" s="13">
        <v>131</v>
      </c>
      <c r="B33">
        <v>4.9000000000000004</v>
      </c>
    </row>
    <row r="34" spans="1:2" x14ac:dyDescent="0.3">
      <c r="A34" s="13">
        <v>132</v>
      </c>
      <c r="B34">
        <v>1.6</v>
      </c>
    </row>
    <row r="35" spans="1:2" x14ac:dyDescent="0.3">
      <c r="A35" s="13">
        <v>133</v>
      </c>
      <c r="B35">
        <v>6.5</v>
      </c>
    </row>
    <row r="36" spans="1:2" x14ac:dyDescent="0.3">
      <c r="A36" s="13">
        <v>134</v>
      </c>
      <c r="B36">
        <v>4.7</v>
      </c>
    </row>
    <row r="37" spans="1:2" x14ac:dyDescent="0.3">
      <c r="A37" s="13">
        <v>135</v>
      </c>
      <c r="B37">
        <v>3159</v>
      </c>
    </row>
    <row r="38" spans="1:2" x14ac:dyDescent="0.3">
      <c r="A38" s="13">
        <v>136</v>
      </c>
      <c r="B38">
        <v>10790</v>
      </c>
    </row>
    <row r="39" spans="1:2" x14ac:dyDescent="0.3">
      <c r="A39" s="13">
        <v>137</v>
      </c>
      <c r="B39">
        <v>15390</v>
      </c>
    </row>
    <row r="40" spans="1:2" x14ac:dyDescent="0.3">
      <c r="A40" s="13">
        <v>138</v>
      </c>
      <c r="B40">
        <v>53740</v>
      </c>
    </row>
    <row r="41" spans="1:2" x14ac:dyDescent="0.3">
      <c r="A41" s="13">
        <v>139</v>
      </c>
      <c r="B41">
        <v>1.3</v>
      </c>
    </row>
    <row r="42" spans="1:2" x14ac:dyDescent="0.3">
      <c r="A42" s="13">
        <v>140</v>
      </c>
      <c r="B42">
        <v>450</v>
      </c>
    </row>
    <row r="43" spans="1:2" x14ac:dyDescent="0.3">
      <c r="A43" s="13" t="s">
        <v>83</v>
      </c>
      <c r="B43">
        <v>1580543.6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55E016F-70F7-437D-B7D1-C24E796E395E}">
  <ds:schemaRefs/>
</ds:datastoreItem>
</file>

<file path=customXml/itemProps2.xml><?xml version="1.0" encoding="utf-8"?>
<ds:datastoreItem xmlns:ds="http://schemas.openxmlformats.org/officeDocument/2006/customXml" ds:itemID="{49EB4E8C-E8C9-4CB1-A864-C0D2DC50693C}">
  <ds:schemaRefs/>
</ds:datastoreItem>
</file>

<file path=customXml/itemProps3.xml><?xml version="1.0" encoding="utf-8"?>
<ds:datastoreItem xmlns:ds="http://schemas.openxmlformats.org/officeDocument/2006/customXml" ds:itemID="{1673679B-0B69-45C2-82FF-ED096B0F9B0B}">
  <ds:schemaRefs/>
</ds:datastoreItem>
</file>

<file path=customXml/itemProps4.xml><?xml version="1.0" encoding="utf-8"?>
<ds:datastoreItem xmlns:ds="http://schemas.openxmlformats.org/officeDocument/2006/customXml" ds:itemID="{D201E1DF-669D-4D8B-9738-4048D0E94F69}">
  <ds:schemaRefs/>
</ds:datastoreItem>
</file>

<file path=customXml/itemProps5.xml><?xml version="1.0" encoding="utf-8"?>
<ds:datastoreItem xmlns:ds="http://schemas.openxmlformats.org/officeDocument/2006/customXml" ds:itemID="{99D6A127-AB21-4474-B9E7-F40421CABB44}">
  <ds:schemaRefs/>
</ds:datastoreItem>
</file>

<file path=customXml/itemProps6.xml><?xml version="1.0" encoding="utf-8"?>
<ds:datastoreItem xmlns:ds="http://schemas.openxmlformats.org/officeDocument/2006/customXml" ds:itemID="{32D9C8A5-E012-4F93-AD25-27CDE01CCDC9}">
  <ds:schemaRefs/>
</ds:datastoreItem>
</file>

<file path=customXml/itemProps7.xml><?xml version="1.0" encoding="utf-8"?>
<ds:datastoreItem xmlns:ds="http://schemas.openxmlformats.org/officeDocument/2006/customXml" ds:itemID="{BF11BFF8-F6BB-4D1D-A65C-61041C587643}">
  <ds:schemaRefs/>
</ds:datastoreItem>
</file>

<file path=customXml/itemProps8.xml><?xml version="1.0" encoding="utf-8"?>
<ds:datastoreItem xmlns:ds="http://schemas.openxmlformats.org/officeDocument/2006/customXml" ds:itemID="{603EF068-3235-4760-A5FE-E18FAF5FA1F9}">
  <ds:schemaRefs/>
</ds:datastoreItem>
</file>

<file path=customXml/itemProps9.xml><?xml version="1.0" encoding="utf-8"?>
<ds:datastoreItem xmlns:ds="http://schemas.openxmlformats.org/officeDocument/2006/customXml" ds:itemID="{63EE99D8-7AD3-48E5-B547-EED20664D7E6}">
  <ds:schemaRefs/>
</ds:datastoreItem>
</file>

<file path=customXml/itemProps10.xml><?xml version="1.0" encoding="utf-8"?>
<ds:datastoreItem xmlns:ds="http://schemas.openxmlformats.org/officeDocument/2006/customXml" ds:itemID="{C70B6C32-8194-426D-B589-25A3399D3A67}">
  <ds:schemaRefs/>
</ds:datastoreItem>
</file>

<file path=customXml/itemProps11.xml><?xml version="1.0" encoding="utf-8"?>
<ds:datastoreItem xmlns:ds="http://schemas.openxmlformats.org/officeDocument/2006/customXml" ds:itemID="{71A51595-5466-4041-AEB8-42C99F0EF5BF}">
  <ds:schemaRefs/>
</ds:datastoreItem>
</file>

<file path=customXml/itemProps12.xml><?xml version="1.0" encoding="utf-8"?>
<ds:datastoreItem xmlns:ds="http://schemas.openxmlformats.org/officeDocument/2006/customXml" ds:itemID="{C999FB45-DFF1-4CDD-AD3E-F00FA93A011C}">
  <ds:schemaRefs/>
</ds:datastoreItem>
</file>

<file path=customXml/itemProps13.xml><?xml version="1.0" encoding="utf-8"?>
<ds:datastoreItem xmlns:ds="http://schemas.openxmlformats.org/officeDocument/2006/customXml" ds:itemID="{7FC98803-7C6E-4416-BD13-38DD6B6ECFC3}">
  <ds:schemaRefs/>
</ds:datastoreItem>
</file>

<file path=customXml/itemProps14.xml><?xml version="1.0" encoding="utf-8"?>
<ds:datastoreItem xmlns:ds="http://schemas.openxmlformats.org/officeDocument/2006/customXml" ds:itemID="{2ACE21FA-CCE6-4814-B167-4D4C21A98B67}">
  <ds:schemaRefs/>
</ds:datastoreItem>
</file>

<file path=customXml/itemProps15.xml><?xml version="1.0" encoding="utf-8"?>
<ds:datastoreItem xmlns:ds="http://schemas.openxmlformats.org/officeDocument/2006/customXml" ds:itemID="{785E0FFB-DAAF-4CFF-B9E3-8ACFDB2855C9}">
  <ds:schemaRefs/>
</ds:datastoreItem>
</file>

<file path=customXml/itemProps16.xml><?xml version="1.0" encoding="utf-8"?>
<ds:datastoreItem xmlns:ds="http://schemas.openxmlformats.org/officeDocument/2006/customXml" ds:itemID="{4196C982-0867-4CF1-B555-7345B3284EA7}">
  <ds:schemaRefs/>
</ds:datastoreItem>
</file>

<file path=customXml/itemProps17.xml><?xml version="1.0" encoding="utf-8"?>
<ds:datastoreItem xmlns:ds="http://schemas.openxmlformats.org/officeDocument/2006/customXml" ds:itemID="{88D696F5-3AC4-4FE6-9616-13607BD0BABE}">
  <ds:schemaRefs/>
</ds:datastoreItem>
</file>

<file path=customXml/itemProps18.xml><?xml version="1.0" encoding="utf-8"?>
<ds:datastoreItem xmlns:ds="http://schemas.openxmlformats.org/officeDocument/2006/customXml" ds:itemID="{BBBBA4BB-4AD9-4DD5-B8A8-8179D755A1DB}">
  <ds:schemaRefs/>
</ds:datastoreItem>
</file>

<file path=customXml/itemProps19.xml><?xml version="1.0" encoding="utf-8"?>
<ds:datastoreItem xmlns:ds="http://schemas.openxmlformats.org/officeDocument/2006/customXml" ds:itemID="{1485ED29-0D37-4A80-9FA9-23908ACD4B1C}">
  <ds:schemaRefs/>
</ds:datastoreItem>
</file>

<file path=customXml/itemProps20.xml><?xml version="1.0" encoding="utf-8"?>
<ds:datastoreItem xmlns:ds="http://schemas.openxmlformats.org/officeDocument/2006/customXml" ds:itemID="{FC8DD5F0-803F-4063-A104-265D22B05B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movies-count</vt:lpstr>
      <vt:lpstr>studio count</vt:lpstr>
      <vt:lpstr>industry-count</vt:lpstr>
      <vt:lpstr>stu-co</vt:lpstr>
      <vt:lpstr>Profit</vt:lpstr>
      <vt:lpstr>Financials</vt:lpstr>
      <vt:lpstr>Movies-pro</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Meharaj Begum</dc:creator>
  <cp:lastModifiedBy>Meharaj Begum</cp:lastModifiedBy>
  <dcterms:created xsi:type="dcterms:W3CDTF">2026-07-15T14:46:09Z</dcterms:created>
  <dcterms:modified xsi:type="dcterms:W3CDTF">2026-08-23T15:38:06Z</dcterms:modified>
</cp:coreProperties>
</file>